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89a65443a9bb3b4e/Desktop/mini project/Mini Project/"/>
    </mc:Choice>
  </mc:AlternateContent>
  <xr:revisionPtr revIDLastSave="43" documentId="8_{E46CE75F-EA08-4816-85D2-76377DA9CBCC}" xr6:coauthVersionLast="47" xr6:coauthVersionMax="47" xr10:uidLastSave="{13153AD6-D14D-4972-A682-E3E752DF4985}"/>
  <bookViews>
    <workbookView xWindow="-120" yWindow="-120" windowWidth="20730" windowHeight="11040" firstSheet="1" activeTab="3" xr2:uid="{D2228BD9-8174-4165-B109-54DB3A921F41}"/>
  </bookViews>
  <sheets>
    <sheet name="RawDataSet" sheetId="1" r:id="rId1"/>
    <sheet name="Processed Sheet" sheetId="2" r:id="rId2"/>
    <sheet name="Cleaned" sheetId="3" r:id="rId3"/>
    <sheet name="Transformation" sheetId="8" r:id="rId4"/>
    <sheet name="PivotTable" sheetId="5" r:id="rId5"/>
    <sheet name="Insights" sheetId="7" r:id="rId6"/>
  </sheets>
  <definedNames>
    <definedName name="ExternalData_1" localSheetId="3" hidden="1">Transformation!$A$1:$O$501</definedName>
    <definedName name="Slicer_Attrition">#N/A</definedName>
    <definedName name="Slicer_Department">#N/A</definedName>
    <definedName name="Slicer_Gender">#N/A</definedName>
    <definedName name="Slicer_JobRole2">#N/A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N503"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J505" i="2"/>
  <c r="H506" i="2"/>
  <c r="B50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B50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9C39A0-025D-4A22-A2BB-95D2BBDA7787}"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<sst xmlns="http://schemas.openxmlformats.org/spreadsheetml/2006/main" count="16148" uniqueCount="601">
  <si>
    <t>EmployeeID</t>
  </si>
  <si>
    <t>Age</t>
  </si>
  <si>
    <t>Gender</t>
  </si>
  <si>
    <t>Department</t>
  </si>
  <si>
    <t>JobRole</t>
  </si>
  <si>
    <t>MonthlyIncome</t>
  </si>
  <si>
    <t>JobSatisfaction</t>
  </si>
  <si>
    <t>PerformanceRating</t>
  </si>
  <si>
    <t>WorkLifeBalance</t>
  </si>
  <si>
    <t>Overtime</t>
  </si>
  <si>
    <t>YearsAtCompany</t>
  </si>
  <si>
    <t>Attrition</t>
  </si>
  <si>
    <t>MaritalStatus</t>
  </si>
  <si>
    <t>TrainingHours</t>
  </si>
  <si>
    <t>City</t>
  </si>
  <si>
    <t>EMP0001</t>
  </si>
  <si>
    <t>Male</t>
  </si>
  <si>
    <t>Operations</t>
  </si>
  <si>
    <t>Analyst</t>
  </si>
  <si>
    <t>Yes</t>
  </si>
  <si>
    <t>No</t>
  </si>
  <si>
    <t>Single</t>
  </si>
  <si>
    <t>Chennai</t>
  </si>
  <si>
    <t>EMP0002</t>
  </si>
  <si>
    <t>Marketing</t>
  </si>
  <si>
    <t>Associate</t>
  </si>
  <si>
    <t>Divorced</t>
  </si>
  <si>
    <t>EMP0003</t>
  </si>
  <si>
    <t>Female</t>
  </si>
  <si>
    <t>IT</t>
  </si>
  <si>
    <t>Married</t>
  </si>
  <si>
    <t>Delhi</t>
  </si>
  <si>
    <t>EMP0004</t>
  </si>
  <si>
    <t>Engineer</t>
  </si>
  <si>
    <t>EMP0005</t>
  </si>
  <si>
    <t>Manager</t>
  </si>
  <si>
    <t>Hyderabad</t>
  </si>
  <si>
    <t>EMP0006</t>
  </si>
  <si>
    <t>Lead</t>
  </si>
  <si>
    <t>EMP0007</t>
  </si>
  <si>
    <t>HR</t>
  </si>
  <si>
    <t>Executive</t>
  </si>
  <si>
    <t>Mumbai</t>
  </si>
  <si>
    <t>EMP0008</t>
  </si>
  <si>
    <t>Bangalore</t>
  </si>
  <si>
    <t>EMP0009</t>
  </si>
  <si>
    <t>EMP0010</t>
  </si>
  <si>
    <t>EMP0011</t>
  </si>
  <si>
    <t>EMP0012</t>
  </si>
  <si>
    <t>Finance</t>
  </si>
  <si>
    <t>EMP0013</t>
  </si>
  <si>
    <t>Sales</t>
  </si>
  <si>
    <t>EMP0014</t>
  </si>
  <si>
    <t>EMP0015</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</si>
  <si>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</si>
  <si>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</si>
  <si>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</si>
  <si>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</si>
  <si>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</si>
  <si>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</si>
  <si>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</si>
  <si>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</si>
  <si>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</si>
  <si>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</si>
  <si>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</si>
  <si>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</si>
  <si>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</si>
  <si>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</si>
  <si>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</si>
  <si>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</si>
  <si>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</si>
  <si>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</si>
  <si>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</si>
  <si>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</si>
  <si>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</si>
  <si>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</si>
  <si>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</si>
  <si>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</si>
  <si>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</si>
  <si>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</si>
  <si>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</si>
  <si>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</si>
  <si>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</si>
  <si>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</si>
  <si>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</si>
  <si>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</si>
  <si>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</si>
  <si>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</si>
  <si>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</si>
  <si>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</si>
  <si>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</si>
  <si>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</si>
  <si>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</si>
  <si>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</si>
  <si>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</si>
  <si>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</si>
  <si>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</si>
  <si>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</si>
  <si>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</si>
  <si>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</si>
  <si>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</si>
  <si>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</si>
  <si>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</si>
  <si>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</si>
  <si>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</si>
  <si>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</si>
  <si>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</si>
  <si>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</si>
  <si>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</si>
  <si>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</si>
  <si>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</si>
  <si>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</si>
  <si>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</si>
  <si>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</si>
  <si>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</si>
  <si>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</si>
  <si>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</si>
  <si>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</si>
  <si>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</si>
  <si>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</si>
  <si>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</si>
  <si>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</si>
  <si>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</si>
  <si>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</si>
  <si>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</si>
  <si>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</si>
  <si>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</si>
  <si>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</si>
  <si>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</si>
  <si>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</si>
  <si>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</si>
  <si>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</si>
  <si>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</si>
  <si>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</si>
  <si>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</si>
  <si>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</si>
  <si>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</si>
  <si>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</si>
  <si>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</si>
  <si>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</si>
  <si>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</si>
  <si>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</si>
  <si>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</si>
  <si>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</si>
  <si>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</si>
  <si>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</si>
  <si>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</si>
  <si>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</si>
  <si>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</si>
  <si>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</si>
  <si>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</si>
  <si>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</si>
  <si>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</si>
  <si>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</si>
  <si>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</si>
  <si>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</si>
  <si>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</si>
  <si>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</si>
  <si>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</si>
  <si>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</si>
  <si>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</si>
  <si>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</si>
  <si>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</si>
  <si>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</si>
  <si>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</si>
  <si>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</si>
  <si>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</si>
  <si>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</si>
  <si>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</si>
  <si>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</si>
  <si>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</si>
  <si>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</si>
  <si>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</si>
  <si>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</si>
  <si>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</si>
  <si>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</si>
  <si>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</si>
  <si>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</si>
  <si>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</si>
  <si>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</si>
  <si>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</si>
  <si>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</si>
  <si>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</si>
  <si>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</si>
  <si>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</si>
  <si>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</si>
  <si>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</si>
  <si>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</si>
  <si>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</si>
  <si>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</si>
  <si>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</si>
  <si>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</si>
  <si>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</si>
  <si>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</si>
  <si>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</si>
  <si>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</si>
  <si>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</si>
  <si>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</si>
  <si>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</si>
  <si>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</si>
  <si>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</si>
  <si>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</si>
  <si>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</si>
  <si>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</si>
  <si>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</si>
  <si>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</si>
  <si>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</si>
  <si>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</si>
  <si>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</si>
  <si>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</si>
  <si>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</si>
  <si>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</si>
  <si>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</si>
  <si>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</si>
  <si>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</si>
  <si>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</si>
  <si>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</si>
  <si>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</si>
  <si>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</si>
  <si>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</si>
  <si>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</si>
  <si>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</si>
  <si>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</si>
  <si>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</si>
  <si>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</si>
  <si>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</si>
  <si>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</si>
  <si>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</si>
  <si>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</si>
  <si>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</si>
  <si>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</si>
  <si>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</si>
  <si>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</si>
  <si>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</si>
  <si>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</si>
  <si>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</si>
  <si>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</si>
  <si>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</si>
  <si>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</si>
  <si>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</si>
  <si>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</si>
  <si>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</si>
  <si>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</si>
  <si>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</si>
  <si>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</si>
  <si>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</si>
  <si>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</si>
  <si>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</si>
  <si>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</si>
  <si>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</si>
  <si>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</si>
  <si>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</si>
  <si>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</si>
  <si>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</si>
  <si>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</si>
  <si>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</si>
  <si>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</si>
  <si>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</si>
  <si>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</si>
  <si>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</si>
  <si>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</si>
  <si>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</si>
  <si>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</si>
  <si>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</si>
  <si>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</si>
  <si>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</si>
  <si>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</si>
  <si>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</si>
  <si>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</si>
  <si>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</si>
  <si>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</si>
  <si>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</si>
  <si>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</si>
  <si>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</si>
  <si>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</si>
  <si>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</si>
  <si>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</si>
  <si>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</si>
  <si>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</si>
  <si>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</si>
  <si>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</si>
  <si>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</si>
  <si>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</si>
  <si>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</si>
  <si>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</si>
  <si>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</si>
  <si>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</si>
  <si>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</si>
  <si>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</si>
  <si>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</si>
  <si>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</si>
  <si>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</si>
  <si>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</si>
  <si>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</si>
  <si>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</si>
  <si>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</si>
  <si>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</si>
  <si>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</si>
  <si>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</si>
  <si>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</si>
  <si>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</si>
  <si>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</si>
  <si>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</si>
  <si>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</si>
  <si>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</si>
  <si>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</si>
  <si>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</si>
  <si>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</si>
  <si>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</si>
  <si>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</si>
  <si>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</si>
  <si>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</si>
  <si>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</si>
  <si>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</si>
  <si>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</si>
  <si>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</si>
  <si>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</si>
  <si>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</si>
  <si>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</si>
  <si>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</si>
  <si>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</si>
  <si>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</si>
  <si>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</si>
  <si>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</si>
  <si>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</si>
  <si>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</si>
  <si>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</si>
  <si>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</si>
  <si>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</si>
  <si>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</si>
  <si>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</si>
  <si>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</si>
  <si>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</si>
  <si>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</si>
  <si>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</si>
  <si>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</si>
  <si>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</si>
  <si>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</si>
  <si>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</si>
  <si>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</si>
  <si>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</si>
  <si>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</si>
  <si>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</si>
  <si>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</si>
  <si>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</si>
  <si>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</si>
  <si>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</si>
  <si>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</si>
  <si>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</si>
  <si>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</si>
  <si>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</si>
  <si>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</si>
  <si>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</si>
  <si>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</si>
  <si>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</si>
  <si>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</si>
  <si>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</si>
  <si>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</si>
  <si>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</si>
  <si>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</si>
  <si>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</si>
  <si>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</si>
  <si>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</si>
  <si>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</si>
  <si>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</si>
  <si>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</si>
  <si>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</si>
  <si>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</si>
  <si>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</si>
  <si>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</si>
  <si>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</si>
  <si>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</si>
  <si>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</si>
  <si>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</si>
  <si>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</si>
  <si>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</si>
  <si>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</si>
  <si>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</si>
  <si>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</si>
  <si>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</si>
  <si>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</si>
  <si>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</si>
  <si>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</si>
  <si>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</si>
  <si>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</si>
  <si>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</si>
  <si>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</si>
  <si>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</si>
  <si>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</si>
  <si>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</si>
  <si>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</si>
  <si>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</si>
  <si>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</si>
  <si>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</si>
  <si>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</si>
  <si>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</si>
  <si>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</si>
  <si>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</si>
  <si>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</si>
  <si>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</si>
  <si>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</si>
  <si>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</si>
  <si>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</si>
  <si>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</si>
  <si>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</si>
  <si>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</si>
  <si>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</si>
  <si>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</si>
  <si>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</si>
  <si>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</si>
  <si>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</si>
  <si>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</si>
  <si>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</si>
  <si>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</si>
  <si>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</si>
  <si>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</si>
  <si>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</si>
  <si>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</si>
  <si>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</si>
  <si>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</si>
  <si>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</si>
  <si>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</si>
  <si>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</si>
  <si>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</si>
  <si>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</si>
  <si>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</si>
  <si>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</si>
  <si>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</si>
  <si>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</si>
  <si>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</si>
  <si>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</si>
  <si>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</si>
  <si>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</si>
  <si>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</si>
  <si>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</si>
  <si>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</si>
  <si>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</si>
  <si>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</si>
  <si>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</si>
  <si>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</si>
  <si>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</si>
  <si>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</si>
  <si>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</si>
  <si>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</si>
  <si>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</si>
  <si>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</si>
  <si>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</si>
  <si>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</si>
  <si>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</si>
  <si>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</si>
  <si>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</si>
  <si>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</si>
  <si>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</si>
  <si>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</si>
  <si>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</si>
  <si>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</si>
  <si>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</si>
  <si>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</si>
  <si>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</si>
  <si>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</si>
  <si>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</si>
  <si>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</si>
  <si>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</si>
  <si>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</si>
  <si>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</si>
  <si>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</si>
  <si>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</si>
  <si>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</si>
  <si>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</si>
  <si>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</si>
  <si>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</si>
  <si>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</si>
  <si>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</si>
  <si>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</si>
  <si>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</si>
  <si>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</si>
  <si>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</si>
  <si>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</si>
  <si>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</si>
  <si>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</si>
  <si>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</si>
  <si>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</si>
  <si>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</si>
  <si>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</si>
  <si>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</si>
  <si>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</si>
  <si>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</si>
  <si>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</si>
  <si>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</si>
  <si>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</si>
  <si>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</si>
  <si>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</si>
  <si>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</si>
  <si>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</si>
  <si>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</si>
  <si>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</si>
  <si>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</si>
  <si>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</si>
  <si>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</si>
  <si>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</si>
  <si>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</si>
  <si>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</si>
  <si>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</si>
  <si>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</si>
  <si>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</si>
  <si>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</si>
  <si>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</si>
  <si>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</si>
  <si>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</si>
  <si>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</si>
  <si>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</si>
  <si>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</si>
  <si>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</si>
  <si>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</si>
  <si>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</si>
  <si>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</si>
  <si>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</si>
  <si>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</si>
  <si>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</si>
  <si>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</si>
  <si>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</si>
  <si>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</si>
  <si>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</si>
  <si>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</si>
  <si>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</si>
  <si>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</si>
  <si>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</si>
  <si>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</si>
  <si>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</si>
  <si>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</si>
  <si>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</si>
  <si>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</si>
  <si>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</si>
  <si>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</si>
  <si>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</si>
  <si>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</si>
  <si>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</si>
  <si>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</si>
  <si>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</si>
  <si>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Age2</t>
  </si>
  <si>
    <t>Average=</t>
  </si>
  <si>
    <t>Median=</t>
  </si>
  <si>
    <t>JobSatisfaction2</t>
  </si>
  <si>
    <t>Average=3</t>
  </si>
  <si>
    <t>PerformanceRating2</t>
  </si>
  <si>
    <t>WorkLifeBalance2</t>
  </si>
  <si>
    <t>manager</t>
  </si>
  <si>
    <t>mAnager</t>
  </si>
  <si>
    <t>Manage</t>
  </si>
  <si>
    <t>Enginee</t>
  </si>
  <si>
    <t>Execuive</t>
  </si>
  <si>
    <t>Executve</t>
  </si>
  <si>
    <t>Assocate</t>
  </si>
  <si>
    <t>JobRole2</t>
  </si>
  <si>
    <t>Manger</t>
  </si>
  <si>
    <t>engineer</t>
  </si>
  <si>
    <t>associate</t>
  </si>
  <si>
    <t>AnaLyst</t>
  </si>
  <si>
    <t>Engneer</t>
  </si>
  <si>
    <t>maNager</t>
  </si>
  <si>
    <t>ANalyst</t>
  </si>
  <si>
    <t>LEAD</t>
  </si>
  <si>
    <t>Associat</t>
  </si>
  <si>
    <t>ExecuYive</t>
  </si>
  <si>
    <t>ManaGEer</t>
  </si>
  <si>
    <t>LeaD</t>
  </si>
  <si>
    <t>LEad</t>
  </si>
  <si>
    <t>EngiNeer</t>
  </si>
  <si>
    <t>ExecutiVe</t>
  </si>
  <si>
    <t>Manageer</t>
  </si>
  <si>
    <t>Execuyive</t>
  </si>
  <si>
    <t>Row Labels</t>
  </si>
  <si>
    <t>Grand Total</t>
  </si>
  <si>
    <t>Count of EmployeeID</t>
  </si>
  <si>
    <t>Column Labels</t>
  </si>
  <si>
    <t>Sum of Monthly Income</t>
  </si>
  <si>
    <t>HR Dataset</t>
  </si>
  <si>
    <t>Total employee in datasets-500</t>
  </si>
  <si>
    <t>This Dtaset contains employee details like department,salary,attrition,jobrole.</t>
  </si>
  <si>
    <t>WHAT WE DID IN EXCEL</t>
  </si>
  <si>
    <t>Duplicates has been removed properly</t>
  </si>
  <si>
    <t>Missing values are handled them by using Mean,Median.</t>
  </si>
  <si>
    <t>Aggregate functions are also used this cleaned sheet.</t>
  </si>
  <si>
    <t>Sum of salary column is 33986970</t>
  </si>
  <si>
    <t>Average of the salary column is 68110.19</t>
  </si>
  <si>
    <t>Maximum range of the salary is 119856</t>
  </si>
  <si>
    <t>MonthlyIncome2</t>
  </si>
  <si>
    <t>Minimum range of salary is 18205</t>
  </si>
  <si>
    <t>Out of 500 employees, 236 have left the organisation, indicating noticeable attrition in the dataset.</t>
  </si>
  <si>
    <t>PIVOT TABLE</t>
  </si>
  <si>
    <t>Pivot table are also created in the HR Dataset.</t>
  </si>
  <si>
    <t>SUMMARY</t>
  </si>
  <si>
    <t>Aiso conditional formating are also applied.</t>
  </si>
  <si>
    <t>Job Role</t>
  </si>
  <si>
    <t>Monthly Income</t>
  </si>
  <si>
    <t>Job Satisfaction</t>
  </si>
  <si>
    <t>Performance Rating</t>
  </si>
  <si>
    <t>WorkLife Balance</t>
  </si>
  <si>
    <t>Years At Company</t>
  </si>
  <si>
    <t>Marital Status</t>
  </si>
  <si>
    <t>Training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</si>
</sst>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1"/>
      <color theme="1" tint="4.9989318521683403E-2"/>
      <name val="Calibri"/>
      <family val="2"/>
      <scheme val="minor"/>
    </font>
    <font>
      <b/>
      <sz val="11"/>
      <color theme="1"/>
      <name val="Times New Roman"/>
      <family val="1"/>
    </font>
    <font>
      <b/>
      <sz val="16"/>
      <color theme="1"/>
      <name val="Times New Roman"/>
      <family val="1"/>
    </font>
    <font>
      <sz val="8"/>
      <name val="Calibri"/>
      <family val="2"/>
      <scheme val="minor"/>
    </font>
    <font>
      <sz val="11"/>
      <color theme="1"/>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0" xfId="0" applyFont="1" applyFill="1"/>
    <xf numFmtId="0" fontId="18" fillId="34" borderId="14" xfId="0" applyFont="1" applyFill="1" applyBorder="1" applyAlignment="1">
      <alignment horizontal="center"/>
    </xf>
    <xf numFmtId="0" fontId="0" fillId="34" borderId="0" xfId="0" applyFill="1"/>
    <xf numFmtId="0" fontId="0" fillId="34" borderId="0" xfId="0" applyFill="1" applyAlignment="1">
      <alignment horizontal="center"/>
    </xf>
    <xf numFmtId="0" fontId="0" fillId="35" borderId="10" xfId="0" applyFill="1" applyBorder="1" applyAlignment="1">
      <alignment horizontal="center"/>
    </xf>
    <xf numFmtId="0" fontId="0" fillId="35" borderId="17" xfId="0" applyFill="1" applyBorder="1" applyAlignment="1">
      <alignment horizontal="center"/>
    </xf>
    <xf numFmtId="0" fontId="0" fillId="35" borderId="0" xfId="0" applyFill="1"/>
    <xf numFmtId="0" fontId="16" fillId="34" borderId="0" xfId="0" applyFont="1" applyFill="1" applyAlignment="1">
      <alignment horizontal="center"/>
    </xf>
    <xf numFmtId="0" fontId="18" fillId="35" borderId="10" xfId="0" applyFont="1" applyFill="1" applyBorder="1"/>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xf numFmtId="0" fontId="19" fillId="0" borderId="0" xfId="0" applyFont="1"/>
    <xf numFmtId="0" fontId="19" fillId="0" borderId="14" xfId="0" applyFont="1" applyBorder="1" applyAlignment="1">
      <alignment horizontal="center"/>
    </xf>
    <xf numFmtId="0" fontId="0" fillId="0" borderId="0" xfId="0" pivotButton="1"/>
    <xf numFmtId="0" fontId="0" fillId="0" borderId="0" xfId="0" applyAlignment="1">
      <alignment horizontal="left"/>
    </xf>
    <xf numFmtId="0" fontId="20" fillId="0" borderId="0" xfId="0" applyFont="1"/>
    <xf numFmtId="0" fontId="0" fillId="0" borderId="0" xfId="0" applyAlignment="1">
      <alignment horizontal="left" indent="1"/>
    </xf>
    <xf numFmtId="0" fontId="23" fillId="0" borderId="0" xfId="0" applyFont="1" applyAlignment="1">
      <alignment horizontal="left"/>
    </xf>
    <xf numFmtId="0" fontId="16" fillId="0" borderId="0" xfId="0" applyFont="1"/>
    <xf numFmtId="0" fontId="21"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5700"/>
      </font>
      <fill>
        <patternFill>
          <bgColor rgb="FFFFEB9C"/>
        </patternFill>
      </fill>
    </dxf>
    <dxf>
      <fill>
        <patternFill>
          <bgColor theme="5" tint="-0.499984740745262"/>
        </patternFill>
      </fill>
    </dxf>
    <dxf>
      <fill>
        <patternFill>
          <bgColor rgb="FF00B0F0"/>
        </patternFill>
      </fill>
    </dxf>
    <dxf>
      <fill>
        <patternFill>
          <bgColor rgb="FF002060"/>
        </patternFill>
      </fill>
    </dxf>
    <dxf>
      <fill>
        <patternFill>
          <bgColor rgb="FF7030A0"/>
        </patternFill>
      </fill>
    </dxf>
    <dxf>
      <fill>
        <patternFill>
          <bgColor theme="8" tint="0.39994506668294322"/>
        </patternFill>
      </fill>
    </dxf>
    <dxf>
      <fill>
        <patternFill>
          <bgColor rgb="FFFF0000"/>
        </patternFill>
      </fill>
    </dxf>
    <dxf>
      <fill>
        <patternFill>
          <bgColor theme="9" tint="-0.24994659260841701"/>
        </patternFill>
      </fill>
    </dxf>
    <dxf>
      <fill>
        <patternFill>
          <bgColor rgb="FFC00000"/>
        </patternFill>
      </fill>
    </dxf>
    <dxf>
      <fill>
        <patternFill>
          <bgColor rgb="FFFFC000"/>
        </patternFill>
      </fill>
    </dxf>
    <dxf>
      <fill>
        <patternFill>
          <bgColor rgb="FFFFFF00"/>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ill>
        <patternFill>
          <bgColor theme="7" tint="0.59996337778862885"/>
        </patternFill>
      </fill>
    </dxf>
    <dxf>
      <fill>
        <patternFill>
          <bgColor theme="5" tint="0.39994506668294322"/>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11</xdr:col>
      <xdr:colOff>561974</xdr:colOff>
      <xdr:row>10</xdr:row>
      <xdr:rowOff>142875</xdr:rowOff>
    </xdr:from>
    <xdr:to>
      <xdr:col>14</xdr:col>
      <xdr:colOff>114299</xdr:colOff>
      <xdr:row>24</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2B69304-AB7B-9DF7-5647-38AD4A152F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58274" y="2047875"/>
              <a:ext cx="13811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104775</xdr:colOff>
      <xdr:row>0</xdr:row>
      <xdr:rowOff>38100</xdr:rowOff>
    </xdr:from>
    <xdr:to>
      <xdr:col>14</xdr:col>
      <xdr:colOff>123825</xdr:colOff>
      <xdr:row>10</xdr:row>
      <xdr:rowOff>28575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8E38A61-1DC9-B2DA-55F3-60B97AABE2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01075" y="38100"/>
              <a:ext cx="1847850" cy="18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7</xdr:row>
      <xdr:rowOff>104775</xdr:rowOff>
    </xdr:from>
    <xdr:to>
      <xdr:col>10</xdr:col>
      <xdr:colOff>504825</xdr:colOff>
      <xdr:row>20</xdr:row>
      <xdr:rowOff>152400</xdr:rowOff>
    </xdr:to>
    <mc:AlternateContent xmlns:mc="http://schemas.openxmlformats.org/markup-compatibility/2006" xmlns:a14="http://schemas.microsoft.com/office/drawing/2010/main">
      <mc:Choice Requires="a14">
        <xdr:graphicFrame macro="">
          <xdr:nvGraphicFramePr>
            <xdr:cNvPr id="4" name="JobRole2">
              <a:extLst>
                <a:ext uri="{FF2B5EF4-FFF2-40B4-BE49-F238E27FC236}">
                  <a16:creationId xmlns:a16="http://schemas.microsoft.com/office/drawing/2014/main" id="{C5AA6E6B-705A-804B-6320-44EB0A523C03}"/>
                </a:ext>
              </a:extLst>
            </xdr:cNvPr>
            <xdr:cNvGraphicFramePr/>
          </xdr:nvGraphicFramePr>
          <xdr:xfrm>
            <a:off x="0" y="0"/>
            <a:ext cx="0" cy="0"/>
          </xdr:xfrm>
          <a:graphic>
            <a:graphicData uri="http://schemas.microsoft.com/office/drawing/2010/slicer">
              <sle:slicer xmlns:sle="http://schemas.microsoft.com/office/drawing/2010/slicer" name="JobRole2"/>
            </a:graphicData>
          </a:graphic>
        </xdr:graphicFrame>
      </mc:Choice>
      <mc:Fallback xmlns="">
        <xdr:sp macro="" textlink="">
          <xdr:nvSpPr>
            <xdr:cNvPr id="0" name=""/>
            <xdr:cNvSpPr>
              <a:spLocks noTextEdit="1"/>
            </xdr:cNvSpPr>
          </xdr:nvSpPr>
          <xdr:spPr>
            <a:xfrm>
              <a:off x="6562725" y="1438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485774</xdr:colOff>
      <xdr:row>0</xdr:row>
      <xdr:rowOff>0</xdr:rowOff>
    </xdr:from>
    <xdr:to>
      <xdr:col>10</xdr:col>
      <xdr:colOff>495299</xdr:colOff>
      <xdr:row>6</xdr:row>
      <xdr:rowOff>180975</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54A43D0E-7CCF-5571-3986-817BB07D7B6B}"/>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6543674" y="0"/>
              <a:ext cx="1838325"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2.373123379628" createdVersion="8" refreshedVersion="8" minRefreshableVersion="3" recordCount="500" xr:uid="{A63C56E4-B011-4C4B-9599-785884347F36}">
  <cacheSource type="worksheet">
    <worksheetSource name="Table3"/>
  </cacheSource>
  <cacheFields count="15">
    <cacheField name="EmployeeID" numFmtId="0">
      <sharedItems/>
    </cacheField>
    <cacheField name="Age2" numFmtId="0">
      <sharedItems containsSemiMixedTypes="0" containsString="0" containsNumber="1" containsInteger="1" minValue="21" maxValue="58"/>
    </cacheField>
    <cacheField name="Gender" numFmtId="0">
      <sharedItems count="2">
        <s v="Male"/>
        <s v="Female"/>
      </sharedItems>
    </cacheField>
    <cacheField name="Department" numFmtId="0">
      <sharedItems count="6">
        <s v="Operations"/>
        <s v="Marketing"/>
        <s v="IT"/>
        <s v="HR"/>
        <s v="Finance"/>
        <s v="Sales"/>
      </sharedItems>
    </cacheField>
    <cacheField name="JobRole2" numFmtId="0">
      <sharedItems count="16">
        <s v="Analyst"/>
        <s v="Associate"/>
        <s v="Engineer"/>
        <s v="Manager"/>
        <s v="Lead"/>
        <s v="Execuive"/>
        <s v="Executive"/>
        <s v="Enginee"/>
        <s v="Manage"/>
        <s v="Executve"/>
        <s v="Assocate"/>
        <s v="Manger"/>
        <s v="Engneer"/>
        <s v="Associat"/>
        <s v="Manageer"/>
        <s v="Execuyive"/>
      </sharedItems>
    </cacheField>
    <cacheField name="Monthly Income" numFmtId="0">
      <sharedItems containsString="0" containsBlank="1" containsNumber="1" containsInteger="1" minValue="0" maxValue="119856"/>
    </cacheField>
    <cacheField name="JobSatisfaction2" numFmtId="0">
      <sharedItems containsSemiMixedTypes="0" containsString="0" containsNumber="1" containsInteger="1" minValue="0" maxValue="119856"/>
    </cacheField>
    <cacheField name="PerformanceRating" numFmtId="0">
      <sharedItems containsSemiMixedTypes="0" containsString="0" containsNumber="1" containsInteger="1" minValue="1" maxValue="5"/>
    </cacheField>
    <cacheField name="WorkLifeBalance2" numFmtId="0">
      <sharedItems containsSemiMixedTypes="0" containsString="0" containsNumber="1" containsInteger="1" minValue="1" maxValue="5"/>
    </cacheField>
    <cacheField name="Overtime" numFmtId="0">
      <sharedItems count="2">
        <s v="Yes"/>
        <s v="No"/>
      </sharedItems>
    </cacheField>
    <cacheField name="YearsAtCompany" numFmtId="0">
      <sharedItems containsSemiMixedTypes="0" containsString="0" containsNumber="1" containsInteger="1" minValue="0" maxValue="20"/>
    </cacheField>
    <cacheField name="Attrition" numFmtId="0">
      <sharedItems count="2">
        <s v="No"/>
        <s v="Yes"/>
      </sharedItems>
    </cacheField>
    <cacheField name="MaritalStatus" numFmtId="0">
      <sharedItems count="3">
        <s v="Single"/>
        <s v="Divorced"/>
        <s v="Married"/>
      </sharedItems>
    </cacheField>
    <cacheField name="TrainingHours" numFmtId="0">
      <sharedItems containsSemiMixedTypes="0" containsString="0" containsNumber="1" containsInteger="1" minValue="5" maxValue="80"/>
    </cacheField>
    <cacheField name="City" numFmtId="0">
      <sharedItems/>
    </cacheField>
  </cacheFields>
  <extLst>
    <ext xmlns:x14="http://schemas.microsoft.com/office/spreadsheetml/2009/9/main" uri="{725AE2AE-9491-48be-B2B4-4EB974FC3084}">
      <x14:pivotCacheDefinition pivotCacheId="1788479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01"/>
    <n v="28"/>
    <x v="0"/>
    <x v="0"/>
    <x v="0"/>
    <n v="50098"/>
    <n v="50098"/>
    <n v="2"/>
    <n v="1"/>
    <x v="0"/>
    <n v="18"/>
    <x v="0"/>
    <x v="0"/>
    <n v="8"/>
    <s v="Chennai"/>
  </r>
  <r>
    <s v="EMP0002"/>
    <n v="34"/>
    <x v="0"/>
    <x v="1"/>
    <x v="1"/>
    <n v="21478"/>
    <n v="21478"/>
    <n v="2"/>
    <n v="5"/>
    <x v="1"/>
    <n v="7"/>
    <x v="0"/>
    <x v="1"/>
    <n v="40"/>
    <s v="Chennai"/>
  </r>
  <r>
    <s v="EMP0003"/>
    <n v="31"/>
    <x v="1"/>
    <x v="2"/>
    <x v="0"/>
    <n v="38379"/>
    <n v="38379"/>
    <n v="3"/>
    <n v="1"/>
    <x v="0"/>
    <n v="12"/>
    <x v="1"/>
    <x v="2"/>
    <n v="49"/>
    <s v="Delhi"/>
  </r>
  <r>
    <s v="EMP0004"/>
    <n v="37"/>
    <x v="0"/>
    <x v="0"/>
    <x v="2"/>
    <n v="88284"/>
    <n v="88284"/>
    <n v="4"/>
    <n v="1"/>
    <x v="1"/>
    <n v="20"/>
    <x v="0"/>
    <x v="1"/>
    <n v="29"/>
    <s v="Chennai"/>
  </r>
  <r>
    <s v="EMP0005"/>
    <n v="23"/>
    <x v="0"/>
    <x v="2"/>
    <x v="3"/>
    <n v="48512"/>
    <n v="48512"/>
    <n v="4"/>
    <n v="3"/>
    <x v="1"/>
    <n v="20"/>
    <x v="0"/>
    <x v="0"/>
    <n v="52"/>
    <s v="Hyderabad"/>
  </r>
  <r>
    <s v="EMP0006"/>
    <n v="34"/>
    <x v="1"/>
    <x v="0"/>
    <x v="4"/>
    <n v="102939"/>
    <n v="102939"/>
    <n v="5"/>
    <n v="2"/>
    <x v="0"/>
    <n v="5"/>
    <x v="0"/>
    <x v="2"/>
    <n v="39"/>
    <s v="Delhi"/>
  </r>
  <r>
    <s v="EMP0007"/>
    <n v="35"/>
    <x v="1"/>
    <x v="3"/>
    <x v="5"/>
    <n v="22207"/>
    <n v="22207"/>
    <n v="4"/>
    <n v="3"/>
    <x v="0"/>
    <n v="6"/>
    <x v="0"/>
    <x v="0"/>
    <n v="68"/>
    <s v="Mumbai"/>
  </r>
  <r>
    <s v="EMP0008"/>
    <n v="50"/>
    <x v="0"/>
    <x v="2"/>
    <x v="6"/>
    <n v="50325"/>
    <n v="50325"/>
    <n v="5"/>
    <n v="3"/>
    <x v="1"/>
    <n v="18"/>
    <x v="0"/>
    <x v="2"/>
    <n v="33"/>
    <s v="Bangalore"/>
  </r>
  <r>
    <s v="EMP0009"/>
    <n v="53"/>
    <x v="1"/>
    <x v="3"/>
    <x v="3"/>
    <n v="32371"/>
    <n v="32371"/>
    <n v="2"/>
    <n v="4"/>
    <x v="0"/>
    <n v="12"/>
    <x v="0"/>
    <x v="1"/>
    <n v="64"/>
    <s v="Delhi"/>
  </r>
  <r>
    <s v="EMP0010"/>
    <n v="37"/>
    <x v="0"/>
    <x v="0"/>
    <x v="4"/>
    <n v="33014"/>
    <n v="33014"/>
    <n v="3"/>
    <n v="3"/>
    <x v="0"/>
    <n v="9"/>
    <x v="0"/>
    <x v="0"/>
    <n v="63"/>
    <s v="Chennai"/>
  </r>
  <r>
    <s v="EMP0011"/>
    <n v="37"/>
    <x v="0"/>
    <x v="1"/>
    <x v="3"/>
    <n v="99959"/>
    <n v="99959"/>
    <n v="5"/>
    <n v="5"/>
    <x v="0"/>
    <n v="4"/>
    <x v="0"/>
    <x v="0"/>
    <n v="74"/>
    <s v="Delhi"/>
  </r>
  <r>
    <s v="EMP0012"/>
    <n v="21"/>
    <x v="1"/>
    <x v="4"/>
    <x v="3"/>
    <n v="32662"/>
    <n v="32662"/>
    <n v="3"/>
    <n v="2"/>
    <x v="0"/>
    <n v="7"/>
    <x v="1"/>
    <x v="0"/>
    <n v="67"/>
    <s v="Chennai"/>
  </r>
  <r>
    <s v="EMP0013"/>
    <n v="55"/>
    <x v="0"/>
    <x v="5"/>
    <x v="4"/>
    <n v="80296"/>
    <n v="80296"/>
    <n v="2"/>
    <n v="3"/>
    <x v="1"/>
    <n v="6"/>
    <x v="1"/>
    <x v="1"/>
    <n v="44"/>
    <s v="Mumbai"/>
  </r>
  <r>
    <s v="EMP0014"/>
    <n v="44"/>
    <x v="1"/>
    <x v="1"/>
    <x v="2"/>
    <n v="33860"/>
    <n v="33860"/>
    <n v="2"/>
    <n v="1"/>
    <x v="1"/>
    <n v="0"/>
    <x v="1"/>
    <x v="1"/>
    <n v="33"/>
    <s v="Chennai"/>
  </r>
  <r>
    <s v="EMP0015"/>
    <n v="25"/>
    <x v="0"/>
    <x v="5"/>
    <x v="3"/>
    <n v="22117"/>
    <n v="22117"/>
    <n v="1"/>
    <n v="5"/>
    <x v="0"/>
    <n v="8"/>
    <x v="0"/>
    <x v="0"/>
    <n v="74"/>
    <s v="Bangalore"/>
  </r>
  <r>
    <s v="EMP0016"/>
    <n v="57"/>
    <x v="1"/>
    <x v="5"/>
    <x v="7"/>
    <n v="71354"/>
    <n v="71354"/>
    <n v="1"/>
    <n v="1"/>
    <x v="1"/>
    <n v="11"/>
    <x v="0"/>
    <x v="2"/>
    <n v="64"/>
    <s v="Chennai"/>
  </r>
  <r>
    <s v="EMP0017"/>
    <n v="27"/>
    <x v="0"/>
    <x v="4"/>
    <x v="4"/>
    <n v="62473"/>
    <n v="62473"/>
    <n v="2"/>
    <n v="2"/>
    <x v="0"/>
    <n v="17"/>
    <x v="0"/>
    <x v="0"/>
    <n v="59"/>
    <s v="Bangalore"/>
  </r>
  <r>
    <s v="EMP0018"/>
    <n v="38"/>
    <x v="1"/>
    <x v="5"/>
    <x v="8"/>
    <n v="76082"/>
    <n v="76082"/>
    <n v="3"/>
    <n v="1"/>
    <x v="0"/>
    <n v="2"/>
    <x v="1"/>
    <x v="0"/>
    <n v="57"/>
    <s v="Mumbai"/>
  </r>
  <r>
    <s v="EMP0019"/>
    <n v="51"/>
    <x v="0"/>
    <x v="4"/>
    <x v="3"/>
    <n v="39579"/>
    <n v="39579"/>
    <n v="1"/>
    <n v="4"/>
    <x v="1"/>
    <n v="14"/>
    <x v="0"/>
    <x v="2"/>
    <n v="76"/>
    <s v="Mumbai"/>
  </r>
  <r>
    <s v="EMP0020"/>
    <n v="30"/>
    <x v="0"/>
    <x v="2"/>
    <x v="9"/>
    <n v="25665"/>
    <n v="25665"/>
    <n v="5"/>
    <n v="1"/>
    <x v="1"/>
    <n v="1"/>
    <x v="1"/>
    <x v="1"/>
    <n v="66"/>
    <s v="Delhi"/>
  </r>
  <r>
    <s v="EMP0021"/>
    <n v="54"/>
    <x v="0"/>
    <x v="3"/>
    <x v="10"/>
    <n v="28500"/>
    <n v="28500"/>
    <n v="3"/>
    <n v="5"/>
    <x v="0"/>
    <n v="7"/>
    <x v="0"/>
    <x v="0"/>
    <n v="77"/>
    <s v="Bangalore"/>
  </r>
  <r>
    <s v="EMP0022"/>
    <n v="58"/>
    <x v="0"/>
    <x v="1"/>
    <x v="11"/>
    <n v="72948"/>
    <n v="72948"/>
    <n v="5"/>
    <n v="5"/>
    <x v="1"/>
    <n v="8"/>
    <x v="1"/>
    <x v="1"/>
    <n v="45"/>
    <s v="Bangalore"/>
  </r>
  <r>
    <s v="EMP0023"/>
    <n v="37"/>
    <x v="1"/>
    <x v="5"/>
    <x v="4"/>
    <n v="102607"/>
    <n v="102607"/>
    <n v="3"/>
    <n v="3"/>
    <x v="0"/>
    <n v="0"/>
    <x v="0"/>
    <x v="1"/>
    <n v="77"/>
    <s v="Chennai"/>
  </r>
  <r>
    <s v="EMP0024"/>
    <n v="25"/>
    <x v="0"/>
    <x v="1"/>
    <x v="0"/>
    <n v="35361"/>
    <n v="35361"/>
    <n v="1"/>
    <n v="2"/>
    <x v="1"/>
    <n v="9"/>
    <x v="1"/>
    <x v="2"/>
    <n v="74"/>
    <s v="Hyderabad"/>
  </r>
  <r>
    <s v="EMP0025"/>
    <n v="54"/>
    <x v="0"/>
    <x v="0"/>
    <x v="1"/>
    <n v="57240"/>
    <n v="57240"/>
    <n v="2"/>
    <n v="3"/>
    <x v="0"/>
    <n v="3"/>
    <x v="1"/>
    <x v="2"/>
    <n v="41"/>
    <s v="Delhi"/>
  </r>
  <r>
    <s v="EMP0026"/>
    <n v="34"/>
    <x v="1"/>
    <x v="5"/>
    <x v="4"/>
    <n v="101130"/>
    <n v="101130"/>
    <n v="5"/>
    <n v="4"/>
    <x v="1"/>
    <n v="1"/>
    <x v="1"/>
    <x v="1"/>
    <n v="59"/>
    <s v="Hyderabad"/>
  </r>
  <r>
    <s v="EMP0027"/>
    <n v="23"/>
    <x v="0"/>
    <x v="2"/>
    <x v="6"/>
    <n v="101507"/>
    <n v="101507"/>
    <n v="2"/>
    <n v="4"/>
    <x v="1"/>
    <n v="17"/>
    <x v="1"/>
    <x v="0"/>
    <n v="14"/>
    <s v="Bangalore"/>
  </r>
  <r>
    <s v="EMP0028"/>
    <n v="55"/>
    <x v="0"/>
    <x v="2"/>
    <x v="1"/>
    <n v="90420"/>
    <n v="90420"/>
    <n v="4"/>
    <n v="2"/>
    <x v="0"/>
    <n v="9"/>
    <x v="0"/>
    <x v="0"/>
    <n v="50"/>
    <s v="Bangalore"/>
  </r>
  <r>
    <s v="EMP0029"/>
    <n v="36"/>
    <x v="0"/>
    <x v="2"/>
    <x v="1"/>
    <n v="71264"/>
    <n v="71264"/>
    <n v="2"/>
    <n v="2"/>
    <x v="0"/>
    <n v="5"/>
    <x v="0"/>
    <x v="0"/>
    <n v="27"/>
    <s v="Hyderabad"/>
  </r>
  <r>
    <s v="EMP0030"/>
    <n v="47"/>
    <x v="0"/>
    <x v="2"/>
    <x v="6"/>
    <n v="109917"/>
    <n v="109917"/>
    <n v="4"/>
    <n v="1"/>
    <x v="1"/>
    <n v="7"/>
    <x v="1"/>
    <x v="2"/>
    <n v="49"/>
    <s v="Hyderabad"/>
  </r>
  <r>
    <s v="EMP0031"/>
    <n v="35"/>
    <x v="0"/>
    <x v="3"/>
    <x v="4"/>
    <n v="43313"/>
    <n v="43313"/>
    <n v="3"/>
    <n v="3"/>
    <x v="0"/>
    <n v="8"/>
    <x v="0"/>
    <x v="1"/>
    <n v="70"/>
    <s v="Mumbai"/>
  </r>
  <r>
    <s v="EMP0032"/>
    <n v="55"/>
    <x v="1"/>
    <x v="3"/>
    <x v="3"/>
    <n v="52237"/>
    <n v="52237"/>
    <n v="5"/>
    <n v="3"/>
    <x v="0"/>
    <n v="3"/>
    <x v="0"/>
    <x v="2"/>
    <n v="45"/>
    <s v="Mumbai"/>
  </r>
  <r>
    <s v="EMP0033"/>
    <n v="53"/>
    <x v="0"/>
    <x v="4"/>
    <x v="1"/>
    <n v="42914"/>
    <n v="42914"/>
    <n v="1"/>
    <n v="4"/>
    <x v="0"/>
    <n v="16"/>
    <x v="1"/>
    <x v="2"/>
    <n v="60"/>
    <s v="Chennai"/>
  </r>
  <r>
    <s v="EMP0034"/>
    <n v="42"/>
    <x v="1"/>
    <x v="0"/>
    <x v="3"/>
    <n v="112339"/>
    <n v="112339"/>
    <n v="5"/>
    <n v="3"/>
    <x v="1"/>
    <n v="10"/>
    <x v="0"/>
    <x v="1"/>
    <n v="42"/>
    <s v="Delhi"/>
  </r>
  <r>
    <s v="EMP0035"/>
    <n v="29"/>
    <x v="0"/>
    <x v="4"/>
    <x v="4"/>
    <n v="67695"/>
    <n v="67695"/>
    <n v="5"/>
    <n v="5"/>
    <x v="1"/>
    <n v="12"/>
    <x v="1"/>
    <x v="2"/>
    <n v="41"/>
    <s v="Bangalore"/>
  </r>
  <r>
    <s v="EMP0036"/>
    <n v="48"/>
    <x v="1"/>
    <x v="4"/>
    <x v="2"/>
    <n v="75954"/>
    <n v="75954"/>
    <n v="5"/>
    <n v="4"/>
    <x v="0"/>
    <n v="2"/>
    <x v="0"/>
    <x v="1"/>
    <n v="47"/>
    <s v="Chennai"/>
  </r>
  <r>
    <s v="EMP0037"/>
    <n v="36"/>
    <x v="1"/>
    <x v="5"/>
    <x v="6"/>
    <n v="37313"/>
    <n v="37313"/>
    <n v="1"/>
    <n v="2"/>
    <x v="1"/>
    <n v="19"/>
    <x v="1"/>
    <x v="2"/>
    <n v="58"/>
    <s v="Delhi"/>
  </r>
  <r>
    <s v="EMP0038"/>
    <n v="33"/>
    <x v="1"/>
    <x v="4"/>
    <x v="2"/>
    <n v="49979"/>
    <n v="49979"/>
    <n v="1"/>
    <n v="1"/>
    <x v="1"/>
    <n v="7"/>
    <x v="1"/>
    <x v="1"/>
    <n v="71"/>
    <s v="Mumbai"/>
  </r>
  <r>
    <s v="EMP0039"/>
    <n v="24"/>
    <x v="0"/>
    <x v="3"/>
    <x v="2"/>
    <n v="35477"/>
    <n v="35477"/>
    <n v="5"/>
    <n v="5"/>
    <x v="1"/>
    <n v="14"/>
    <x v="0"/>
    <x v="1"/>
    <n v="62"/>
    <s v="Bangalore"/>
  </r>
  <r>
    <s v="EMP0040"/>
    <n v="51"/>
    <x v="1"/>
    <x v="2"/>
    <x v="6"/>
    <n v="101579"/>
    <n v="101579"/>
    <n v="5"/>
    <n v="4"/>
    <x v="0"/>
    <n v="8"/>
    <x v="0"/>
    <x v="0"/>
    <n v="41"/>
    <s v="Bangalore"/>
  </r>
  <r>
    <s v="EMP0041"/>
    <n v="38"/>
    <x v="1"/>
    <x v="2"/>
    <x v="1"/>
    <n v="28561"/>
    <n v="28561"/>
    <n v="2"/>
    <n v="2"/>
    <x v="1"/>
    <n v="4"/>
    <x v="1"/>
    <x v="0"/>
    <n v="58"/>
    <s v="Mumbai"/>
  </r>
  <r>
    <s v="EMP0042"/>
    <n v="42"/>
    <x v="1"/>
    <x v="4"/>
    <x v="3"/>
    <n v="45110"/>
    <n v="45110"/>
    <n v="4"/>
    <n v="5"/>
    <x v="0"/>
    <n v="18"/>
    <x v="0"/>
    <x v="2"/>
    <n v="5"/>
    <s v="Hyderabad"/>
  </r>
  <r>
    <s v="EMP0043"/>
    <n v="40"/>
    <x v="1"/>
    <x v="4"/>
    <x v="1"/>
    <n v="115978"/>
    <n v="115978"/>
    <n v="5"/>
    <n v="2"/>
    <x v="1"/>
    <n v="7"/>
    <x v="0"/>
    <x v="2"/>
    <n v="67"/>
    <s v="Chennai"/>
  </r>
  <r>
    <s v="EMP0044"/>
    <n v="45"/>
    <x v="1"/>
    <x v="0"/>
    <x v="4"/>
    <n v="70994"/>
    <n v="70994"/>
    <n v="4"/>
    <n v="2"/>
    <x v="0"/>
    <n v="12"/>
    <x v="1"/>
    <x v="0"/>
    <n v="59"/>
    <s v="Bangalore"/>
  </r>
  <r>
    <s v="EMP0045"/>
    <n v="39"/>
    <x v="0"/>
    <x v="3"/>
    <x v="0"/>
    <n v="67689"/>
    <n v="67689"/>
    <n v="2"/>
    <n v="4"/>
    <x v="1"/>
    <n v="10"/>
    <x v="0"/>
    <x v="2"/>
    <n v="58"/>
    <s v="Hyderabad"/>
  </r>
  <r>
    <s v="EMP0046"/>
    <n v="26"/>
    <x v="1"/>
    <x v="3"/>
    <x v="4"/>
    <n v="88702"/>
    <n v="88702"/>
    <n v="3"/>
    <n v="2"/>
    <x v="0"/>
    <n v="20"/>
    <x v="1"/>
    <x v="0"/>
    <n v="36"/>
    <s v="Bangalore"/>
  </r>
  <r>
    <s v="EMP0047"/>
    <n v="22"/>
    <x v="0"/>
    <x v="5"/>
    <x v="6"/>
    <n v="80070"/>
    <n v="80070"/>
    <n v="5"/>
    <n v="2"/>
    <x v="1"/>
    <n v="8"/>
    <x v="0"/>
    <x v="0"/>
    <n v="19"/>
    <s v="Bangalore"/>
  </r>
  <r>
    <s v="EMP0048"/>
    <n v="40"/>
    <x v="0"/>
    <x v="1"/>
    <x v="3"/>
    <n v="58888"/>
    <n v="58888"/>
    <n v="4"/>
    <n v="4"/>
    <x v="0"/>
    <n v="2"/>
    <x v="1"/>
    <x v="0"/>
    <n v="43"/>
    <s v="Delhi"/>
  </r>
  <r>
    <s v="EMP0049"/>
    <n v="28"/>
    <x v="0"/>
    <x v="2"/>
    <x v="1"/>
    <n v="74148"/>
    <n v="74148"/>
    <n v="1"/>
    <n v="5"/>
    <x v="1"/>
    <n v="0"/>
    <x v="0"/>
    <x v="2"/>
    <n v="18"/>
    <s v="Mumbai"/>
  </r>
  <r>
    <s v="EMP0050"/>
    <n v="44"/>
    <x v="1"/>
    <x v="0"/>
    <x v="6"/>
    <n v="75080"/>
    <n v="75080"/>
    <n v="5"/>
    <n v="3"/>
    <x v="1"/>
    <n v="14"/>
    <x v="0"/>
    <x v="1"/>
    <n v="80"/>
    <s v="Hyderabad"/>
  </r>
  <r>
    <s v="EMP0051"/>
    <n v="41"/>
    <x v="0"/>
    <x v="3"/>
    <x v="0"/>
    <n v="77087"/>
    <n v="77087"/>
    <n v="3"/>
    <n v="5"/>
    <x v="1"/>
    <n v="10"/>
    <x v="1"/>
    <x v="2"/>
    <n v="46"/>
    <s v="Bangalore"/>
  </r>
  <r>
    <s v="EMP0052"/>
    <n v="52"/>
    <x v="0"/>
    <x v="2"/>
    <x v="0"/>
    <n v="62608"/>
    <n v="62608"/>
    <n v="5"/>
    <n v="3"/>
    <x v="0"/>
    <n v="16"/>
    <x v="1"/>
    <x v="0"/>
    <n v="35"/>
    <s v="Mumbai"/>
  </r>
  <r>
    <s v="EMP0053"/>
    <n v="52"/>
    <x v="0"/>
    <x v="0"/>
    <x v="2"/>
    <n v="102659"/>
    <n v="102659"/>
    <n v="4"/>
    <n v="1"/>
    <x v="0"/>
    <n v="9"/>
    <x v="1"/>
    <x v="2"/>
    <n v="36"/>
    <s v="Hyderabad"/>
  </r>
  <r>
    <s v="EMP0054"/>
    <n v="58"/>
    <x v="1"/>
    <x v="4"/>
    <x v="1"/>
    <n v="87588"/>
    <n v="87588"/>
    <n v="4"/>
    <n v="5"/>
    <x v="1"/>
    <n v="11"/>
    <x v="0"/>
    <x v="2"/>
    <n v="44"/>
    <s v="Hyderabad"/>
  </r>
  <r>
    <s v="EMP0055"/>
    <n v="35"/>
    <x v="0"/>
    <x v="0"/>
    <x v="6"/>
    <n v="59359"/>
    <n v="59359"/>
    <n v="5"/>
    <n v="2"/>
    <x v="0"/>
    <n v="6"/>
    <x v="0"/>
    <x v="2"/>
    <n v="80"/>
    <s v="Delhi"/>
  </r>
  <r>
    <s v="EMP0056"/>
    <n v="39"/>
    <x v="0"/>
    <x v="5"/>
    <x v="0"/>
    <n v="47816"/>
    <n v="47816"/>
    <n v="2"/>
    <n v="3"/>
    <x v="0"/>
    <n v="17"/>
    <x v="1"/>
    <x v="2"/>
    <n v="10"/>
    <s v="Chennai"/>
  </r>
  <r>
    <s v="EMP0057"/>
    <n v="56"/>
    <x v="1"/>
    <x v="0"/>
    <x v="6"/>
    <n v="101606"/>
    <n v="101606"/>
    <n v="1"/>
    <n v="1"/>
    <x v="1"/>
    <n v="15"/>
    <x v="0"/>
    <x v="2"/>
    <n v="48"/>
    <s v="Bangalore"/>
  </r>
  <r>
    <s v="EMP0058"/>
    <n v="24"/>
    <x v="1"/>
    <x v="4"/>
    <x v="3"/>
    <n v="26564"/>
    <n v="26564"/>
    <n v="4"/>
    <n v="1"/>
    <x v="0"/>
    <n v="4"/>
    <x v="1"/>
    <x v="1"/>
    <n v="43"/>
    <s v="Chennai"/>
  </r>
  <r>
    <s v="EMP0059"/>
    <n v="36"/>
    <x v="0"/>
    <x v="1"/>
    <x v="2"/>
    <n v="97471"/>
    <n v="97471"/>
    <n v="5"/>
    <n v="2"/>
    <x v="1"/>
    <n v="14"/>
    <x v="0"/>
    <x v="2"/>
    <n v="80"/>
    <s v="Mumbai"/>
  </r>
  <r>
    <s v="EMP0060"/>
    <n v="40"/>
    <x v="0"/>
    <x v="1"/>
    <x v="4"/>
    <n v="31006"/>
    <n v="31006"/>
    <n v="2"/>
    <n v="3"/>
    <x v="0"/>
    <n v="5"/>
    <x v="1"/>
    <x v="0"/>
    <n v="75"/>
    <s v="Chennai"/>
  </r>
  <r>
    <s v="EMP0061"/>
    <n v="31"/>
    <x v="0"/>
    <x v="4"/>
    <x v="12"/>
    <n v="108357"/>
    <n v="108357"/>
    <n v="4"/>
    <n v="3"/>
    <x v="0"/>
    <n v="7"/>
    <x v="0"/>
    <x v="1"/>
    <n v="41"/>
    <s v="Mumbai"/>
  </r>
  <r>
    <s v="EMP0062"/>
    <n v="25"/>
    <x v="0"/>
    <x v="2"/>
    <x v="4"/>
    <n v="95304"/>
    <n v="95304"/>
    <n v="4"/>
    <n v="1"/>
    <x v="0"/>
    <n v="20"/>
    <x v="1"/>
    <x v="2"/>
    <n v="23"/>
    <s v="Chennai"/>
  </r>
  <r>
    <s v="EMP0063"/>
    <n v="24"/>
    <x v="0"/>
    <x v="2"/>
    <x v="1"/>
    <n v="116167"/>
    <n v="116167"/>
    <n v="3"/>
    <n v="4"/>
    <x v="0"/>
    <n v="14"/>
    <x v="0"/>
    <x v="1"/>
    <n v="56"/>
    <s v="Hyderabad"/>
  </r>
  <r>
    <s v="EMP0064"/>
    <n v="53"/>
    <x v="1"/>
    <x v="4"/>
    <x v="3"/>
    <n v="96385"/>
    <n v="96385"/>
    <n v="4"/>
    <n v="3"/>
    <x v="1"/>
    <n v="0"/>
    <x v="1"/>
    <x v="0"/>
    <n v="78"/>
    <s v="Delhi"/>
  </r>
  <r>
    <s v="EMP0065"/>
    <n v="22"/>
    <x v="1"/>
    <x v="1"/>
    <x v="3"/>
    <n v="118022"/>
    <n v="118022"/>
    <n v="4"/>
    <n v="5"/>
    <x v="1"/>
    <n v="8"/>
    <x v="1"/>
    <x v="1"/>
    <n v="60"/>
    <s v="Mumbai"/>
  </r>
  <r>
    <s v="EMP0066"/>
    <n v="26"/>
    <x v="1"/>
    <x v="2"/>
    <x v="2"/>
    <n v="61687"/>
    <n v="61687"/>
    <n v="1"/>
    <n v="2"/>
    <x v="1"/>
    <n v="13"/>
    <x v="0"/>
    <x v="2"/>
    <n v="56"/>
    <s v="Delhi"/>
  </r>
  <r>
    <s v="EMP0067"/>
    <n v="23"/>
    <x v="1"/>
    <x v="3"/>
    <x v="0"/>
    <n v="51082"/>
    <n v="51082"/>
    <n v="1"/>
    <n v="4"/>
    <x v="0"/>
    <n v="17"/>
    <x v="0"/>
    <x v="2"/>
    <n v="11"/>
    <s v="Bangalore"/>
  </r>
  <r>
    <s v="EMP0068"/>
    <n v="54"/>
    <x v="1"/>
    <x v="1"/>
    <x v="2"/>
    <n v="99973"/>
    <n v="99973"/>
    <n v="1"/>
    <n v="2"/>
    <x v="1"/>
    <n v="17"/>
    <x v="1"/>
    <x v="2"/>
    <n v="61"/>
    <s v="Mumbai"/>
  </r>
  <r>
    <s v="EMP0069"/>
    <n v="28"/>
    <x v="0"/>
    <x v="0"/>
    <x v="1"/>
    <n v="49365"/>
    <n v="49365"/>
    <n v="3"/>
    <n v="5"/>
    <x v="0"/>
    <n v="17"/>
    <x v="0"/>
    <x v="0"/>
    <n v="33"/>
    <s v="Chennai"/>
  </r>
  <r>
    <s v="EMP0070"/>
    <n v="50"/>
    <x v="0"/>
    <x v="0"/>
    <x v="6"/>
    <m/>
    <n v="3"/>
    <n v="5"/>
    <n v="3"/>
    <x v="1"/>
    <n v="15"/>
    <x v="0"/>
    <x v="0"/>
    <n v="63"/>
    <s v="Delhi"/>
  </r>
  <r>
    <s v="EMP0071"/>
    <n v="30"/>
    <x v="1"/>
    <x v="5"/>
    <x v="1"/>
    <n v="84616"/>
    <n v="84616"/>
    <n v="1"/>
    <n v="3"/>
    <x v="1"/>
    <n v="10"/>
    <x v="0"/>
    <x v="0"/>
    <n v="41"/>
    <s v="Hyderabad"/>
  </r>
  <r>
    <s v="EMP0072"/>
    <n v="58"/>
    <x v="1"/>
    <x v="5"/>
    <x v="2"/>
    <n v="88592"/>
    <n v="88592"/>
    <n v="3"/>
    <n v="3"/>
    <x v="1"/>
    <n v="14"/>
    <x v="0"/>
    <x v="0"/>
    <n v="35"/>
    <s v="Delhi"/>
  </r>
  <r>
    <s v="EMP0073"/>
    <n v="45"/>
    <x v="0"/>
    <x v="4"/>
    <x v="3"/>
    <n v="59704"/>
    <n v="59704"/>
    <n v="4"/>
    <n v="4"/>
    <x v="0"/>
    <n v="15"/>
    <x v="1"/>
    <x v="0"/>
    <n v="69"/>
    <s v="Delhi"/>
  </r>
  <r>
    <s v="EMP0074"/>
    <n v="42"/>
    <x v="0"/>
    <x v="4"/>
    <x v="3"/>
    <n v="86937"/>
    <n v="86937"/>
    <n v="1"/>
    <n v="2"/>
    <x v="1"/>
    <n v="20"/>
    <x v="1"/>
    <x v="0"/>
    <n v="65"/>
    <s v="Hyderabad"/>
  </r>
  <r>
    <s v="EMP0075"/>
    <n v="42"/>
    <x v="1"/>
    <x v="0"/>
    <x v="3"/>
    <n v="0"/>
    <n v="0"/>
    <n v="4"/>
    <n v="3"/>
    <x v="1"/>
    <n v="17"/>
    <x v="1"/>
    <x v="1"/>
    <n v="13"/>
    <s v="Bangalore"/>
  </r>
  <r>
    <s v="EMP0076"/>
    <n v="39"/>
    <x v="0"/>
    <x v="0"/>
    <x v="3"/>
    <n v="74881"/>
    <n v="74881"/>
    <n v="1"/>
    <n v="4"/>
    <x v="0"/>
    <n v="9"/>
    <x v="1"/>
    <x v="0"/>
    <n v="46"/>
    <s v="Chennai"/>
  </r>
  <r>
    <s v="EMP0077"/>
    <n v="39"/>
    <x v="1"/>
    <x v="2"/>
    <x v="2"/>
    <n v="37080"/>
    <n v="37080"/>
    <n v="5"/>
    <n v="3"/>
    <x v="0"/>
    <n v="5"/>
    <x v="1"/>
    <x v="0"/>
    <n v="53"/>
    <s v="Delhi"/>
  </r>
  <r>
    <s v="EMP0078"/>
    <n v="36"/>
    <x v="1"/>
    <x v="1"/>
    <x v="6"/>
    <n v="48433"/>
    <n v="48433"/>
    <n v="3"/>
    <n v="4"/>
    <x v="1"/>
    <n v="0"/>
    <x v="0"/>
    <x v="2"/>
    <n v="74"/>
    <s v="Bangalore"/>
  </r>
  <r>
    <s v="EMP0079"/>
    <n v="25"/>
    <x v="1"/>
    <x v="2"/>
    <x v="1"/>
    <n v="57210"/>
    <n v="57210"/>
    <n v="3"/>
    <n v="4"/>
    <x v="1"/>
    <n v="6"/>
    <x v="0"/>
    <x v="2"/>
    <n v="18"/>
    <s v="Bangalore"/>
  </r>
  <r>
    <s v="EMP0080"/>
    <n v="45"/>
    <x v="1"/>
    <x v="1"/>
    <x v="0"/>
    <n v="109655"/>
    <n v="109655"/>
    <n v="1"/>
    <n v="4"/>
    <x v="1"/>
    <n v="0"/>
    <x v="1"/>
    <x v="1"/>
    <n v="68"/>
    <s v="Hyderabad"/>
  </r>
  <r>
    <s v="EMP0081"/>
    <n v="35"/>
    <x v="1"/>
    <x v="5"/>
    <x v="4"/>
    <n v="42920"/>
    <n v="42920"/>
    <n v="3"/>
    <n v="2"/>
    <x v="0"/>
    <n v="20"/>
    <x v="1"/>
    <x v="2"/>
    <n v="61"/>
    <s v="Chennai"/>
  </r>
  <r>
    <s v="EMP0082"/>
    <n v="58"/>
    <x v="1"/>
    <x v="0"/>
    <x v="6"/>
    <n v="29813"/>
    <n v="29813"/>
    <n v="3"/>
    <n v="4"/>
    <x v="0"/>
    <n v="6"/>
    <x v="1"/>
    <x v="1"/>
    <n v="51"/>
    <s v="Delhi"/>
  </r>
  <r>
    <s v="EMP0083"/>
    <n v="53"/>
    <x v="1"/>
    <x v="5"/>
    <x v="0"/>
    <n v="81156"/>
    <n v="81156"/>
    <n v="3"/>
    <n v="1"/>
    <x v="1"/>
    <n v="2"/>
    <x v="1"/>
    <x v="0"/>
    <n v="55"/>
    <s v="Delhi"/>
  </r>
  <r>
    <s v="EMP0084"/>
    <n v="44"/>
    <x v="0"/>
    <x v="4"/>
    <x v="3"/>
    <n v="52663"/>
    <n v="52663"/>
    <n v="1"/>
    <n v="4"/>
    <x v="1"/>
    <n v="8"/>
    <x v="0"/>
    <x v="1"/>
    <n v="52"/>
    <s v="Chennai"/>
  </r>
  <r>
    <s v="EMP0085"/>
    <n v="35"/>
    <x v="1"/>
    <x v="3"/>
    <x v="1"/>
    <n v="91584"/>
    <n v="91584"/>
    <n v="5"/>
    <n v="2"/>
    <x v="0"/>
    <n v="20"/>
    <x v="0"/>
    <x v="1"/>
    <n v="43"/>
    <s v="Mumbai"/>
  </r>
  <r>
    <s v="EMP0086"/>
    <n v="28"/>
    <x v="0"/>
    <x v="3"/>
    <x v="3"/>
    <n v="57893"/>
    <n v="57893"/>
    <n v="1"/>
    <n v="1"/>
    <x v="0"/>
    <n v="17"/>
    <x v="1"/>
    <x v="2"/>
    <n v="63"/>
    <s v="Hyderabad"/>
  </r>
  <r>
    <s v="EMP0087"/>
    <n v="55"/>
    <x v="1"/>
    <x v="1"/>
    <x v="4"/>
    <n v="113236"/>
    <n v="113236"/>
    <n v="4"/>
    <n v="1"/>
    <x v="1"/>
    <n v="19"/>
    <x v="0"/>
    <x v="2"/>
    <n v="9"/>
    <s v="Hyderabad"/>
  </r>
  <r>
    <s v="EMP0088"/>
    <n v="39"/>
    <x v="1"/>
    <x v="4"/>
    <x v="6"/>
    <n v="65537"/>
    <n v="65537"/>
    <n v="3"/>
    <n v="5"/>
    <x v="1"/>
    <n v="1"/>
    <x v="0"/>
    <x v="2"/>
    <n v="29"/>
    <s v="Chennai"/>
  </r>
  <r>
    <s v="EMP0089"/>
    <n v="50"/>
    <x v="0"/>
    <x v="0"/>
    <x v="6"/>
    <n v="102109"/>
    <n v="102109"/>
    <n v="1"/>
    <n v="1"/>
    <x v="1"/>
    <n v="7"/>
    <x v="1"/>
    <x v="1"/>
    <n v="31"/>
    <s v="Chennai"/>
  </r>
  <r>
    <s v="EMP0090"/>
    <n v="56"/>
    <x v="0"/>
    <x v="1"/>
    <x v="6"/>
    <n v="48539"/>
    <n v="48539"/>
    <n v="2"/>
    <n v="5"/>
    <x v="0"/>
    <n v="8"/>
    <x v="1"/>
    <x v="0"/>
    <n v="74"/>
    <s v="Hyderabad"/>
  </r>
  <r>
    <s v="EMP0091"/>
    <n v="32"/>
    <x v="0"/>
    <x v="0"/>
    <x v="3"/>
    <n v="35275"/>
    <n v="35275"/>
    <n v="3"/>
    <n v="2"/>
    <x v="1"/>
    <n v="0"/>
    <x v="1"/>
    <x v="2"/>
    <n v="11"/>
    <s v="Bangalore"/>
  </r>
  <r>
    <s v="EMP0092"/>
    <n v="47"/>
    <x v="0"/>
    <x v="0"/>
    <x v="3"/>
    <n v="0"/>
    <n v="0"/>
    <n v="3"/>
    <n v="5"/>
    <x v="0"/>
    <n v="14"/>
    <x v="1"/>
    <x v="1"/>
    <n v="10"/>
    <s v="Delhi"/>
  </r>
  <r>
    <s v="EMP0093"/>
    <n v="40"/>
    <x v="1"/>
    <x v="0"/>
    <x v="3"/>
    <n v="25972"/>
    <n v="25972"/>
    <n v="4"/>
    <n v="4"/>
    <x v="0"/>
    <n v="15"/>
    <x v="0"/>
    <x v="0"/>
    <n v="15"/>
    <s v="Hyderabad"/>
  </r>
  <r>
    <s v="EMP0094"/>
    <n v="30"/>
    <x v="0"/>
    <x v="5"/>
    <x v="0"/>
    <n v="99830"/>
    <n v="99830"/>
    <n v="5"/>
    <n v="3"/>
    <x v="1"/>
    <n v="19"/>
    <x v="0"/>
    <x v="2"/>
    <n v="69"/>
    <s v="Delhi"/>
  </r>
  <r>
    <s v="EMP0095"/>
    <n v="48"/>
    <x v="0"/>
    <x v="0"/>
    <x v="3"/>
    <n v="103814"/>
    <n v="103814"/>
    <n v="2"/>
    <n v="4"/>
    <x v="1"/>
    <n v="7"/>
    <x v="0"/>
    <x v="2"/>
    <n v="63"/>
    <s v="Mumbai"/>
  </r>
  <r>
    <s v="EMP0096"/>
    <n v="47"/>
    <x v="0"/>
    <x v="2"/>
    <x v="2"/>
    <n v="58963"/>
    <n v="58963"/>
    <n v="3"/>
    <n v="2"/>
    <x v="1"/>
    <n v="2"/>
    <x v="1"/>
    <x v="0"/>
    <n v="16"/>
    <s v="Mumbai"/>
  </r>
  <r>
    <s v="EMP0097"/>
    <n v="27"/>
    <x v="1"/>
    <x v="5"/>
    <x v="1"/>
    <n v="25861"/>
    <n v="25861"/>
    <n v="5"/>
    <n v="5"/>
    <x v="1"/>
    <n v="3"/>
    <x v="0"/>
    <x v="2"/>
    <n v="59"/>
    <s v="Chennai"/>
  </r>
  <r>
    <s v="EMP0098"/>
    <n v="39"/>
    <x v="1"/>
    <x v="2"/>
    <x v="3"/>
    <n v="93748"/>
    <n v="93748"/>
    <n v="2"/>
    <n v="2"/>
    <x v="1"/>
    <n v="7"/>
    <x v="1"/>
    <x v="2"/>
    <n v="76"/>
    <s v="Hyderabad"/>
  </r>
  <r>
    <s v="EMP0099"/>
    <n v="28"/>
    <x v="1"/>
    <x v="1"/>
    <x v="6"/>
    <n v="74244"/>
    <n v="74244"/>
    <n v="5"/>
    <n v="5"/>
    <x v="0"/>
    <n v="19"/>
    <x v="0"/>
    <x v="0"/>
    <n v="28"/>
    <s v="Hyderabad"/>
  </r>
  <r>
    <s v="EMP0100"/>
    <n v="40"/>
    <x v="1"/>
    <x v="2"/>
    <x v="3"/>
    <n v="0"/>
    <n v="0"/>
    <n v="5"/>
    <n v="4"/>
    <x v="0"/>
    <n v="4"/>
    <x v="1"/>
    <x v="0"/>
    <n v="72"/>
    <s v="Bangalore"/>
  </r>
  <r>
    <s v="EMP0101"/>
    <n v="45"/>
    <x v="1"/>
    <x v="4"/>
    <x v="0"/>
    <n v="38631"/>
    <n v="38631"/>
    <n v="3"/>
    <n v="3"/>
    <x v="0"/>
    <n v="1"/>
    <x v="1"/>
    <x v="0"/>
    <n v="11"/>
    <s v="Chennai"/>
  </r>
  <r>
    <s v="EMP0102"/>
    <n v="38"/>
    <x v="1"/>
    <x v="0"/>
    <x v="2"/>
    <n v="81656"/>
    <n v="81656"/>
    <n v="4"/>
    <n v="4"/>
    <x v="1"/>
    <n v="6"/>
    <x v="1"/>
    <x v="2"/>
    <n v="60"/>
    <s v="Chennai"/>
  </r>
  <r>
    <s v="EMP0103"/>
    <n v="39"/>
    <x v="1"/>
    <x v="1"/>
    <x v="4"/>
    <n v="58425"/>
    <n v="58425"/>
    <n v="2"/>
    <n v="4"/>
    <x v="0"/>
    <n v="0"/>
    <x v="1"/>
    <x v="2"/>
    <n v="32"/>
    <s v="Bangalore"/>
  </r>
  <r>
    <s v="EMP0104"/>
    <n v="37"/>
    <x v="1"/>
    <x v="2"/>
    <x v="3"/>
    <n v="0"/>
    <n v="0"/>
    <n v="4"/>
    <n v="2"/>
    <x v="0"/>
    <n v="12"/>
    <x v="1"/>
    <x v="1"/>
    <n v="76"/>
    <s v="Hyderabad"/>
  </r>
  <r>
    <s v="EMP0105"/>
    <n v="25"/>
    <x v="1"/>
    <x v="0"/>
    <x v="3"/>
    <n v="75176"/>
    <n v="75176"/>
    <n v="4"/>
    <n v="1"/>
    <x v="1"/>
    <n v="18"/>
    <x v="0"/>
    <x v="1"/>
    <n v="56"/>
    <s v="Mumbai"/>
  </r>
  <r>
    <s v="EMP0106"/>
    <n v="39"/>
    <x v="0"/>
    <x v="4"/>
    <x v="3"/>
    <n v="60568"/>
    <n v="60568"/>
    <n v="5"/>
    <n v="4"/>
    <x v="1"/>
    <n v="2"/>
    <x v="0"/>
    <x v="0"/>
    <n v="36"/>
    <s v="Mumbai"/>
  </r>
  <r>
    <s v="EMP0107"/>
    <n v="58"/>
    <x v="1"/>
    <x v="1"/>
    <x v="3"/>
    <n v="69873"/>
    <n v="69873"/>
    <n v="3"/>
    <n v="2"/>
    <x v="1"/>
    <n v="5"/>
    <x v="1"/>
    <x v="1"/>
    <n v="19"/>
    <s v="Delhi"/>
  </r>
  <r>
    <s v="EMP0108"/>
    <n v="53"/>
    <x v="0"/>
    <x v="2"/>
    <x v="0"/>
    <n v="113339"/>
    <n v="113339"/>
    <n v="2"/>
    <n v="1"/>
    <x v="0"/>
    <n v="8"/>
    <x v="1"/>
    <x v="0"/>
    <n v="24"/>
    <s v="Chennai"/>
  </r>
  <r>
    <s v="EMP0109"/>
    <n v="32"/>
    <x v="1"/>
    <x v="4"/>
    <x v="1"/>
    <n v="117598"/>
    <n v="117598"/>
    <n v="4"/>
    <n v="5"/>
    <x v="1"/>
    <n v="20"/>
    <x v="0"/>
    <x v="0"/>
    <n v="61"/>
    <s v="Chennai"/>
  </r>
  <r>
    <s v="EMP0110"/>
    <n v="51"/>
    <x v="1"/>
    <x v="0"/>
    <x v="0"/>
    <n v="54002"/>
    <n v="54002"/>
    <n v="1"/>
    <n v="3"/>
    <x v="0"/>
    <n v="9"/>
    <x v="0"/>
    <x v="2"/>
    <n v="9"/>
    <s v="Chennai"/>
  </r>
  <r>
    <s v="EMP0111"/>
    <n v="39"/>
    <x v="1"/>
    <x v="3"/>
    <x v="4"/>
    <n v="0"/>
    <n v="0"/>
    <n v="5"/>
    <n v="5"/>
    <x v="1"/>
    <n v="14"/>
    <x v="1"/>
    <x v="2"/>
    <n v="78"/>
    <s v="Bangalore"/>
  </r>
  <r>
    <s v="EMP0112"/>
    <n v="41"/>
    <x v="1"/>
    <x v="1"/>
    <x v="6"/>
    <n v="26109"/>
    <n v="26109"/>
    <n v="1"/>
    <n v="3"/>
    <x v="0"/>
    <n v="16"/>
    <x v="1"/>
    <x v="0"/>
    <n v="36"/>
    <s v="Mumbai"/>
  </r>
  <r>
    <s v="EMP0113"/>
    <n v="49"/>
    <x v="0"/>
    <x v="2"/>
    <x v="0"/>
    <n v="55079"/>
    <n v="55079"/>
    <n v="4"/>
    <n v="3"/>
    <x v="0"/>
    <n v="20"/>
    <x v="0"/>
    <x v="0"/>
    <n v="47"/>
    <s v="Chennai"/>
  </r>
  <r>
    <s v="EMP0114"/>
    <n v="56"/>
    <x v="1"/>
    <x v="2"/>
    <x v="0"/>
    <n v="112861"/>
    <n v="112861"/>
    <n v="2"/>
    <n v="3"/>
    <x v="0"/>
    <n v="18"/>
    <x v="1"/>
    <x v="2"/>
    <n v="44"/>
    <s v="Mumbai"/>
  </r>
  <r>
    <s v="EMP0115"/>
    <n v="29"/>
    <x v="0"/>
    <x v="2"/>
    <x v="1"/>
    <n v="67372"/>
    <n v="67372"/>
    <n v="2"/>
    <n v="5"/>
    <x v="0"/>
    <n v="20"/>
    <x v="0"/>
    <x v="1"/>
    <n v="51"/>
    <s v="Chennai"/>
  </r>
  <r>
    <s v="EMP0116"/>
    <n v="44"/>
    <x v="1"/>
    <x v="5"/>
    <x v="6"/>
    <n v="62791"/>
    <n v="62791"/>
    <n v="2"/>
    <n v="2"/>
    <x v="0"/>
    <n v="4"/>
    <x v="1"/>
    <x v="2"/>
    <n v="17"/>
    <s v="Delhi"/>
  </r>
  <r>
    <s v="EMP0117"/>
    <n v="55"/>
    <x v="0"/>
    <x v="0"/>
    <x v="0"/>
    <n v="118441"/>
    <n v="118441"/>
    <n v="2"/>
    <n v="5"/>
    <x v="1"/>
    <n v="4"/>
    <x v="1"/>
    <x v="0"/>
    <n v="26"/>
    <s v="Mumbai"/>
  </r>
  <r>
    <s v="EMP0118"/>
    <n v="39"/>
    <x v="1"/>
    <x v="2"/>
    <x v="4"/>
    <n v="112317"/>
    <n v="112317"/>
    <n v="4"/>
    <n v="5"/>
    <x v="1"/>
    <n v="14"/>
    <x v="1"/>
    <x v="1"/>
    <n v="35"/>
    <s v="Hyderabad"/>
  </r>
  <r>
    <s v="EMP0119"/>
    <n v="51"/>
    <x v="0"/>
    <x v="2"/>
    <x v="4"/>
    <n v="92766"/>
    <n v="92766"/>
    <n v="4"/>
    <n v="3"/>
    <x v="1"/>
    <n v="16"/>
    <x v="0"/>
    <x v="0"/>
    <n v="30"/>
    <s v="Delhi"/>
  </r>
  <r>
    <s v="EMP0120"/>
    <n v="29"/>
    <x v="1"/>
    <x v="3"/>
    <x v="4"/>
    <n v="80991"/>
    <n v="80991"/>
    <n v="5"/>
    <n v="1"/>
    <x v="0"/>
    <n v="9"/>
    <x v="1"/>
    <x v="0"/>
    <n v="39"/>
    <s v="Mumbai"/>
  </r>
  <r>
    <s v="EMP0121"/>
    <n v="53"/>
    <x v="0"/>
    <x v="4"/>
    <x v="3"/>
    <n v="47102"/>
    <n v="47102"/>
    <n v="3"/>
    <n v="1"/>
    <x v="1"/>
    <n v="1"/>
    <x v="0"/>
    <x v="1"/>
    <n v="52"/>
    <s v="Bangalore"/>
  </r>
  <r>
    <s v="EMP0122"/>
    <n v="45"/>
    <x v="0"/>
    <x v="2"/>
    <x v="6"/>
    <n v="21694"/>
    <n v="21694"/>
    <n v="1"/>
    <n v="3"/>
    <x v="0"/>
    <n v="4"/>
    <x v="1"/>
    <x v="2"/>
    <n v="65"/>
    <s v="Bangalore"/>
  </r>
  <r>
    <s v="EMP0123"/>
    <n v="51"/>
    <x v="1"/>
    <x v="1"/>
    <x v="3"/>
    <n v="28384"/>
    <n v="28384"/>
    <n v="3"/>
    <n v="2"/>
    <x v="0"/>
    <n v="17"/>
    <x v="0"/>
    <x v="0"/>
    <n v="41"/>
    <s v="Bangalore"/>
  </r>
  <r>
    <s v="EMP0124"/>
    <n v="40"/>
    <x v="0"/>
    <x v="3"/>
    <x v="6"/>
    <n v="73027"/>
    <n v="73027"/>
    <n v="4"/>
    <n v="1"/>
    <x v="0"/>
    <n v="15"/>
    <x v="1"/>
    <x v="1"/>
    <n v="70"/>
    <s v="Delhi"/>
  </r>
  <r>
    <s v="EMP0125"/>
    <n v="36"/>
    <x v="0"/>
    <x v="2"/>
    <x v="2"/>
    <n v="18205"/>
    <n v="18205"/>
    <n v="3"/>
    <n v="2"/>
    <x v="1"/>
    <n v="5"/>
    <x v="1"/>
    <x v="1"/>
    <n v="51"/>
    <s v="Chennai"/>
  </r>
  <r>
    <s v="EMP0126"/>
    <n v="54"/>
    <x v="0"/>
    <x v="4"/>
    <x v="2"/>
    <n v="23706"/>
    <n v="23706"/>
    <n v="3"/>
    <n v="3"/>
    <x v="0"/>
    <n v="11"/>
    <x v="1"/>
    <x v="2"/>
    <n v="35"/>
    <s v="Chennai"/>
  </r>
  <r>
    <s v="EMP0127"/>
    <n v="58"/>
    <x v="1"/>
    <x v="5"/>
    <x v="3"/>
    <n v="64176"/>
    <n v="64176"/>
    <n v="3"/>
    <n v="3"/>
    <x v="1"/>
    <n v="15"/>
    <x v="1"/>
    <x v="0"/>
    <n v="13"/>
    <s v="Mumbai"/>
  </r>
  <r>
    <s v="EMP0128"/>
    <n v="23"/>
    <x v="1"/>
    <x v="5"/>
    <x v="3"/>
    <n v="44144"/>
    <n v="44144"/>
    <n v="3"/>
    <n v="3"/>
    <x v="1"/>
    <n v="17"/>
    <x v="0"/>
    <x v="2"/>
    <n v="9"/>
    <s v="Bangalore"/>
  </r>
  <r>
    <s v="EMP0129"/>
    <n v="39"/>
    <x v="1"/>
    <x v="3"/>
    <x v="4"/>
    <n v="61506"/>
    <n v="61506"/>
    <n v="1"/>
    <n v="3"/>
    <x v="1"/>
    <n v="12"/>
    <x v="0"/>
    <x v="2"/>
    <n v="48"/>
    <s v="Bangalore"/>
  </r>
  <r>
    <s v="EMP0130"/>
    <n v="52"/>
    <x v="1"/>
    <x v="2"/>
    <x v="1"/>
    <n v="52959"/>
    <n v="52959"/>
    <n v="4"/>
    <n v="1"/>
    <x v="1"/>
    <n v="19"/>
    <x v="1"/>
    <x v="1"/>
    <n v="42"/>
    <s v="Hyderabad"/>
  </r>
  <r>
    <s v="EMP0131"/>
    <n v="27"/>
    <x v="0"/>
    <x v="2"/>
    <x v="4"/>
    <n v="56750"/>
    <n v="56750"/>
    <n v="4"/>
    <n v="5"/>
    <x v="1"/>
    <n v="5"/>
    <x v="0"/>
    <x v="2"/>
    <n v="62"/>
    <s v="Chennai"/>
  </r>
  <r>
    <s v="EMP0132"/>
    <n v="43"/>
    <x v="1"/>
    <x v="2"/>
    <x v="4"/>
    <n v="25518"/>
    <n v="25518"/>
    <n v="4"/>
    <n v="3"/>
    <x v="0"/>
    <n v="0"/>
    <x v="1"/>
    <x v="1"/>
    <n v="61"/>
    <s v="Chennai"/>
  </r>
  <r>
    <s v="EMP0133"/>
    <n v="29"/>
    <x v="0"/>
    <x v="5"/>
    <x v="4"/>
    <n v="66015"/>
    <n v="66015"/>
    <n v="4"/>
    <n v="5"/>
    <x v="0"/>
    <n v="19"/>
    <x v="1"/>
    <x v="1"/>
    <n v="62"/>
    <s v="Hyderabad"/>
  </r>
  <r>
    <s v="EMP0134"/>
    <n v="44"/>
    <x v="1"/>
    <x v="3"/>
    <x v="1"/>
    <n v="36047"/>
    <n v="36047"/>
    <n v="3"/>
    <n v="4"/>
    <x v="1"/>
    <n v="20"/>
    <x v="0"/>
    <x v="0"/>
    <n v="19"/>
    <s v="Chennai"/>
  </r>
  <r>
    <s v="EMP0135"/>
    <n v="32"/>
    <x v="1"/>
    <x v="1"/>
    <x v="2"/>
    <n v="91619"/>
    <n v="91619"/>
    <n v="3"/>
    <n v="3"/>
    <x v="1"/>
    <n v="6"/>
    <x v="0"/>
    <x v="1"/>
    <n v="67"/>
    <s v="Bangalore"/>
  </r>
  <r>
    <s v="EMP0136"/>
    <n v="28"/>
    <x v="0"/>
    <x v="3"/>
    <x v="2"/>
    <n v="40630"/>
    <n v="40630"/>
    <n v="1"/>
    <n v="3"/>
    <x v="1"/>
    <n v="2"/>
    <x v="0"/>
    <x v="2"/>
    <n v="25"/>
    <s v="Bangalore"/>
  </r>
  <r>
    <s v="EMP0137"/>
    <n v="44"/>
    <x v="0"/>
    <x v="3"/>
    <x v="6"/>
    <n v="36202"/>
    <n v="36202"/>
    <n v="4"/>
    <n v="1"/>
    <x v="1"/>
    <n v="17"/>
    <x v="0"/>
    <x v="2"/>
    <n v="75"/>
    <s v="Bangalore"/>
  </r>
  <r>
    <s v="EMP0138"/>
    <n v="26"/>
    <x v="0"/>
    <x v="2"/>
    <x v="2"/>
    <n v="50098"/>
    <n v="50098"/>
    <n v="5"/>
    <n v="4"/>
    <x v="1"/>
    <n v="18"/>
    <x v="1"/>
    <x v="0"/>
    <n v="45"/>
    <s v="Chennai"/>
  </r>
  <r>
    <s v="EMP0139"/>
    <n v="49"/>
    <x v="1"/>
    <x v="0"/>
    <x v="1"/>
    <n v="68925"/>
    <n v="68925"/>
    <n v="5"/>
    <n v="5"/>
    <x v="0"/>
    <n v="4"/>
    <x v="0"/>
    <x v="1"/>
    <n v="12"/>
    <s v="Chennai"/>
  </r>
  <r>
    <s v="EMP0140"/>
    <n v="54"/>
    <x v="0"/>
    <x v="2"/>
    <x v="6"/>
    <n v="39229"/>
    <n v="39229"/>
    <n v="2"/>
    <n v="3"/>
    <x v="1"/>
    <n v="2"/>
    <x v="0"/>
    <x v="0"/>
    <n v="75"/>
    <s v="Hyderabad"/>
  </r>
  <r>
    <s v="EMP0141"/>
    <n v="29"/>
    <x v="1"/>
    <x v="1"/>
    <x v="1"/>
    <n v="30245"/>
    <n v="30245"/>
    <n v="2"/>
    <n v="5"/>
    <x v="0"/>
    <n v="5"/>
    <x v="0"/>
    <x v="1"/>
    <n v="10"/>
    <s v="Chennai"/>
  </r>
  <r>
    <s v="EMP0142"/>
    <n v="26"/>
    <x v="0"/>
    <x v="0"/>
    <x v="1"/>
    <n v="52688"/>
    <n v="52688"/>
    <n v="5"/>
    <n v="4"/>
    <x v="0"/>
    <n v="15"/>
    <x v="0"/>
    <x v="1"/>
    <n v="43"/>
    <s v="Mumbai"/>
  </r>
  <r>
    <s v="EMP0143"/>
    <n v="36"/>
    <x v="1"/>
    <x v="2"/>
    <x v="2"/>
    <n v="27564"/>
    <n v="27564"/>
    <n v="2"/>
    <n v="3"/>
    <x v="1"/>
    <n v="15"/>
    <x v="0"/>
    <x v="0"/>
    <n v="48"/>
    <s v="Delhi"/>
  </r>
  <r>
    <s v="EMP0144"/>
    <n v="30"/>
    <x v="1"/>
    <x v="0"/>
    <x v="0"/>
    <n v="114233"/>
    <n v="114233"/>
    <n v="4"/>
    <n v="2"/>
    <x v="1"/>
    <n v="16"/>
    <x v="1"/>
    <x v="2"/>
    <n v="35"/>
    <s v="Mumbai"/>
  </r>
  <r>
    <s v="EMP0145"/>
    <n v="28"/>
    <x v="1"/>
    <x v="4"/>
    <x v="6"/>
    <n v="36465"/>
    <n v="36465"/>
    <n v="1"/>
    <n v="3"/>
    <x v="1"/>
    <n v="19"/>
    <x v="0"/>
    <x v="0"/>
    <n v="25"/>
    <s v="Hyderabad"/>
  </r>
  <r>
    <s v="EMP0146"/>
    <n v="57"/>
    <x v="1"/>
    <x v="5"/>
    <x v="6"/>
    <n v="83308"/>
    <n v="83308"/>
    <n v="4"/>
    <n v="4"/>
    <x v="1"/>
    <n v="15"/>
    <x v="1"/>
    <x v="0"/>
    <n v="55"/>
    <s v="Delhi"/>
  </r>
  <r>
    <s v="EMP0147"/>
    <n v="50"/>
    <x v="0"/>
    <x v="5"/>
    <x v="1"/>
    <n v="64254"/>
    <n v="64254"/>
    <n v="1"/>
    <n v="3"/>
    <x v="1"/>
    <n v="19"/>
    <x v="0"/>
    <x v="2"/>
    <n v="73"/>
    <s v="Chennai"/>
  </r>
  <r>
    <s v="EMP0148"/>
    <n v="27"/>
    <x v="1"/>
    <x v="5"/>
    <x v="0"/>
    <n v="113355"/>
    <n v="113355"/>
    <n v="4"/>
    <n v="3"/>
    <x v="0"/>
    <n v="12"/>
    <x v="1"/>
    <x v="1"/>
    <n v="76"/>
    <s v="Bangalore"/>
  </r>
  <r>
    <s v="EMP0149"/>
    <n v="44"/>
    <x v="1"/>
    <x v="3"/>
    <x v="2"/>
    <n v="84093"/>
    <n v="84093"/>
    <n v="5"/>
    <n v="3"/>
    <x v="0"/>
    <n v="4"/>
    <x v="1"/>
    <x v="2"/>
    <n v="52"/>
    <s v="Hyderabad"/>
  </r>
  <r>
    <s v="EMP0150"/>
    <n v="56"/>
    <x v="1"/>
    <x v="5"/>
    <x v="6"/>
    <n v="96966"/>
    <n v="96966"/>
    <n v="4"/>
    <n v="5"/>
    <x v="0"/>
    <n v="1"/>
    <x v="1"/>
    <x v="0"/>
    <n v="47"/>
    <s v="Mumbai"/>
  </r>
  <r>
    <s v="EMP0151"/>
    <n v="54"/>
    <x v="1"/>
    <x v="5"/>
    <x v="1"/>
    <n v="85568"/>
    <n v="85568"/>
    <n v="3"/>
    <n v="5"/>
    <x v="1"/>
    <n v="5"/>
    <x v="0"/>
    <x v="1"/>
    <n v="43"/>
    <s v="Delhi"/>
  </r>
  <r>
    <s v="EMP0152"/>
    <n v="42"/>
    <x v="1"/>
    <x v="0"/>
    <x v="1"/>
    <n v="57294"/>
    <n v="57294"/>
    <n v="1"/>
    <n v="3"/>
    <x v="1"/>
    <n v="3"/>
    <x v="0"/>
    <x v="1"/>
    <n v="44"/>
    <s v="Chennai"/>
  </r>
  <r>
    <s v="EMP0153"/>
    <n v="51"/>
    <x v="1"/>
    <x v="0"/>
    <x v="1"/>
    <n v="93711"/>
    <n v="93711"/>
    <n v="1"/>
    <n v="5"/>
    <x v="1"/>
    <n v="5"/>
    <x v="0"/>
    <x v="0"/>
    <n v="36"/>
    <s v="Chennai"/>
  </r>
  <r>
    <s v="EMP0154"/>
    <n v="57"/>
    <x v="0"/>
    <x v="5"/>
    <x v="3"/>
    <n v="75807"/>
    <n v="75807"/>
    <n v="4"/>
    <n v="2"/>
    <x v="1"/>
    <n v="6"/>
    <x v="0"/>
    <x v="1"/>
    <n v="65"/>
    <s v="Chennai"/>
  </r>
  <r>
    <s v="EMP0155"/>
    <n v="29"/>
    <x v="0"/>
    <x v="1"/>
    <x v="0"/>
    <n v="104799"/>
    <n v="104799"/>
    <n v="5"/>
    <n v="4"/>
    <x v="1"/>
    <n v="5"/>
    <x v="0"/>
    <x v="1"/>
    <n v="48"/>
    <s v="Delhi"/>
  </r>
  <r>
    <s v="EMP0156"/>
    <n v="43"/>
    <x v="1"/>
    <x v="1"/>
    <x v="2"/>
    <n v="43200"/>
    <n v="43200"/>
    <n v="3"/>
    <n v="5"/>
    <x v="1"/>
    <n v="7"/>
    <x v="0"/>
    <x v="2"/>
    <n v="31"/>
    <s v="Mumbai"/>
  </r>
  <r>
    <s v="EMP0157"/>
    <n v="41"/>
    <x v="1"/>
    <x v="2"/>
    <x v="1"/>
    <n v="112589"/>
    <n v="112589"/>
    <n v="3"/>
    <n v="1"/>
    <x v="1"/>
    <n v="12"/>
    <x v="0"/>
    <x v="0"/>
    <n v="42"/>
    <s v="Chennai"/>
  </r>
  <r>
    <s v="EMP0158"/>
    <n v="39"/>
    <x v="0"/>
    <x v="2"/>
    <x v="2"/>
    <n v="103979"/>
    <n v="103979"/>
    <n v="4"/>
    <n v="2"/>
    <x v="0"/>
    <n v="17"/>
    <x v="0"/>
    <x v="1"/>
    <n v="39"/>
    <s v="Bangalore"/>
  </r>
  <r>
    <s v="EMP0159"/>
    <n v="27"/>
    <x v="0"/>
    <x v="5"/>
    <x v="3"/>
    <n v="105796"/>
    <n v="105796"/>
    <n v="2"/>
    <n v="2"/>
    <x v="0"/>
    <n v="3"/>
    <x v="0"/>
    <x v="2"/>
    <n v="65"/>
    <s v="Chennai"/>
  </r>
  <r>
    <s v="EMP0160"/>
    <n v="29"/>
    <x v="0"/>
    <x v="1"/>
    <x v="6"/>
    <n v="71334"/>
    <n v="71334"/>
    <n v="4"/>
    <n v="2"/>
    <x v="1"/>
    <n v="10"/>
    <x v="0"/>
    <x v="1"/>
    <n v="12"/>
    <s v="Chennai"/>
  </r>
  <r>
    <s v="EMP0161"/>
    <n v="57"/>
    <x v="0"/>
    <x v="1"/>
    <x v="4"/>
    <n v="112780"/>
    <n v="112780"/>
    <n v="2"/>
    <n v="4"/>
    <x v="0"/>
    <n v="1"/>
    <x v="0"/>
    <x v="2"/>
    <n v="28"/>
    <s v="Hyderabad"/>
  </r>
  <r>
    <s v="EMP0162"/>
    <n v="23"/>
    <x v="0"/>
    <x v="2"/>
    <x v="1"/>
    <n v="97007"/>
    <n v="97007"/>
    <n v="3"/>
    <n v="3"/>
    <x v="1"/>
    <n v="20"/>
    <x v="0"/>
    <x v="0"/>
    <n v="69"/>
    <s v="Mumbai"/>
  </r>
  <r>
    <s v="EMP0163"/>
    <n v="38"/>
    <x v="0"/>
    <x v="3"/>
    <x v="0"/>
    <n v="39298"/>
    <n v="39298"/>
    <n v="3"/>
    <n v="2"/>
    <x v="0"/>
    <n v="10"/>
    <x v="0"/>
    <x v="1"/>
    <n v="29"/>
    <s v="Bangalore"/>
  </r>
  <r>
    <s v="EMP0164"/>
    <n v="46"/>
    <x v="1"/>
    <x v="1"/>
    <x v="0"/>
    <n v="29368"/>
    <n v="29368"/>
    <n v="1"/>
    <n v="2"/>
    <x v="0"/>
    <n v="15"/>
    <x v="0"/>
    <x v="0"/>
    <n v="5"/>
    <s v="Hyderabad"/>
  </r>
  <r>
    <s v="EMP0165"/>
    <n v="45"/>
    <x v="0"/>
    <x v="4"/>
    <x v="0"/>
    <n v="61204"/>
    <n v="61204"/>
    <n v="5"/>
    <n v="5"/>
    <x v="0"/>
    <n v="8"/>
    <x v="0"/>
    <x v="1"/>
    <n v="35"/>
    <s v="Chennai"/>
  </r>
  <r>
    <s v="EMP0166"/>
    <n v="28"/>
    <x v="1"/>
    <x v="2"/>
    <x v="6"/>
    <n v="71138"/>
    <n v="71138"/>
    <n v="3"/>
    <n v="1"/>
    <x v="1"/>
    <n v="11"/>
    <x v="1"/>
    <x v="0"/>
    <n v="22"/>
    <s v="Mumbai"/>
  </r>
  <r>
    <s v="EMP0167"/>
    <n v="30"/>
    <x v="1"/>
    <x v="0"/>
    <x v="1"/>
    <n v="66971"/>
    <n v="66971"/>
    <n v="5"/>
    <n v="4"/>
    <x v="0"/>
    <n v="7"/>
    <x v="1"/>
    <x v="1"/>
    <n v="62"/>
    <s v="Delhi"/>
  </r>
  <r>
    <s v="EMP0168"/>
    <n v="44"/>
    <x v="0"/>
    <x v="1"/>
    <x v="3"/>
    <n v="26094"/>
    <n v="26094"/>
    <n v="5"/>
    <n v="3"/>
    <x v="0"/>
    <n v="5"/>
    <x v="0"/>
    <x v="1"/>
    <n v="61"/>
    <s v="Chennai"/>
  </r>
  <r>
    <s v="EMP0169"/>
    <n v="34"/>
    <x v="1"/>
    <x v="3"/>
    <x v="1"/>
    <n v="76390"/>
    <n v="76390"/>
    <n v="4"/>
    <n v="2"/>
    <x v="1"/>
    <n v="14"/>
    <x v="1"/>
    <x v="1"/>
    <n v="64"/>
    <s v="Hyderabad"/>
  </r>
  <r>
    <s v="EMP0170"/>
    <n v="22"/>
    <x v="1"/>
    <x v="2"/>
    <x v="3"/>
    <n v="115754"/>
    <n v="115754"/>
    <n v="5"/>
    <n v="1"/>
    <x v="0"/>
    <n v="13"/>
    <x v="0"/>
    <x v="1"/>
    <n v="13"/>
    <s v="Delhi"/>
  </r>
  <r>
    <s v="EMP0171"/>
    <n v="24"/>
    <x v="0"/>
    <x v="4"/>
    <x v="3"/>
    <n v="55629"/>
    <n v="55629"/>
    <n v="2"/>
    <n v="2"/>
    <x v="1"/>
    <n v="11"/>
    <x v="0"/>
    <x v="2"/>
    <n v="53"/>
    <s v="Mumbai"/>
  </r>
  <r>
    <s v="EMP0172"/>
    <n v="26"/>
    <x v="0"/>
    <x v="0"/>
    <x v="0"/>
    <n v="68925"/>
    <n v="68925"/>
    <n v="5"/>
    <n v="4"/>
    <x v="0"/>
    <n v="7"/>
    <x v="1"/>
    <x v="0"/>
    <n v="43"/>
    <s v="Mumbai"/>
  </r>
  <r>
    <s v="EMP0173"/>
    <n v="55"/>
    <x v="1"/>
    <x v="1"/>
    <x v="2"/>
    <n v="48102"/>
    <n v="48102"/>
    <n v="4"/>
    <n v="3"/>
    <x v="0"/>
    <n v="8"/>
    <x v="1"/>
    <x v="1"/>
    <n v="19"/>
    <s v="Chennai"/>
  </r>
  <r>
    <s v="EMP0174"/>
    <n v="47"/>
    <x v="0"/>
    <x v="5"/>
    <x v="6"/>
    <n v="26819"/>
    <n v="26819"/>
    <n v="5"/>
    <n v="1"/>
    <x v="1"/>
    <n v="19"/>
    <x v="1"/>
    <x v="0"/>
    <n v="10"/>
    <s v="Mumbai"/>
  </r>
  <r>
    <s v="EMP0175"/>
    <n v="49"/>
    <x v="0"/>
    <x v="1"/>
    <x v="6"/>
    <n v="116878"/>
    <n v="116878"/>
    <n v="2"/>
    <n v="5"/>
    <x v="1"/>
    <n v="7"/>
    <x v="0"/>
    <x v="1"/>
    <n v="46"/>
    <s v="Bangalore"/>
  </r>
  <r>
    <s v="EMP0176"/>
    <n v="40"/>
    <x v="0"/>
    <x v="0"/>
    <x v="1"/>
    <n v="46972"/>
    <n v="46972"/>
    <n v="3"/>
    <n v="3"/>
    <x v="0"/>
    <n v="17"/>
    <x v="1"/>
    <x v="1"/>
    <n v="59"/>
    <s v="Delhi"/>
  </r>
  <r>
    <s v="EMP0177"/>
    <n v="52"/>
    <x v="0"/>
    <x v="2"/>
    <x v="4"/>
    <n v="105994"/>
    <n v="105994"/>
    <n v="5"/>
    <n v="3"/>
    <x v="1"/>
    <n v="13"/>
    <x v="1"/>
    <x v="2"/>
    <n v="53"/>
    <s v="Bangalore"/>
  </r>
  <r>
    <s v="EMP0178"/>
    <n v="55"/>
    <x v="1"/>
    <x v="5"/>
    <x v="6"/>
    <n v="57418"/>
    <n v="57418"/>
    <n v="4"/>
    <n v="1"/>
    <x v="1"/>
    <n v="13"/>
    <x v="1"/>
    <x v="2"/>
    <n v="36"/>
    <s v="Hyderabad"/>
  </r>
  <r>
    <s v="EMP0179"/>
    <n v="34"/>
    <x v="1"/>
    <x v="0"/>
    <x v="3"/>
    <n v="76954"/>
    <n v="76954"/>
    <n v="1"/>
    <n v="5"/>
    <x v="0"/>
    <n v="1"/>
    <x v="0"/>
    <x v="2"/>
    <n v="10"/>
    <s v="Chennai"/>
  </r>
  <r>
    <s v="EMP0180"/>
    <n v="33"/>
    <x v="0"/>
    <x v="4"/>
    <x v="6"/>
    <n v="61642"/>
    <n v="61642"/>
    <n v="1"/>
    <n v="2"/>
    <x v="0"/>
    <n v="3"/>
    <x v="0"/>
    <x v="0"/>
    <n v="31"/>
    <s v="Mumbai"/>
  </r>
  <r>
    <s v="EMP0181"/>
    <n v="36"/>
    <x v="1"/>
    <x v="2"/>
    <x v="2"/>
    <n v="79112"/>
    <n v="79112"/>
    <n v="3"/>
    <n v="3"/>
    <x v="1"/>
    <n v="11"/>
    <x v="0"/>
    <x v="2"/>
    <n v="17"/>
    <s v="Mumbai"/>
  </r>
  <r>
    <s v="EMP0182"/>
    <n v="41"/>
    <x v="0"/>
    <x v="2"/>
    <x v="0"/>
    <n v="72254"/>
    <n v="72254"/>
    <n v="5"/>
    <n v="2"/>
    <x v="0"/>
    <n v="0"/>
    <x v="0"/>
    <x v="1"/>
    <n v="79"/>
    <s v="Delhi"/>
  </r>
  <r>
    <s v="EMP0183"/>
    <n v="47"/>
    <x v="1"/>
    <x v="5"/>
    <x v="6"/>
    <n v="61236"/>
    <n v="61236"/>
    <n v="4"/>
    <n v="5"/>
    <x v="0"/>
    <n v="15"/>
    <x v="0"/>
    <x v="2"/>
    <n v="67"/>
    <s v="Mumbai"/>
  </r>
  <r>
    <s v="EMP0184"/>
    <n v="50"/>
    <x v="0"/>
    <x v="0"/>
    <x v="0"/>
    <n v="68925"/>
    <n v="68925"/>
    <n v="5"/>
    <n v="4"/>
    <x v="0"/>
    <n v="17"/>
    <x v="1"/>
    <x v="1"/>
    <n v="9"/>
    <s v="Chennai"/>
  </r>
  <r>
    <s v="EMP0185"/>
    <n v="24"/>
    <x v="0"/>
    <x v="4"/>
    <x v="6"/>
    <n v="100667"/>
    <n v="100667"/>
    <n v="1"/>
    <n v="2"/>
    <x v="0"/>
    <n v="6"/>
    <x v="0"/>
    <x v="2"/>
    <n v="12"/>
    <s v="Delhi"/>
  </r>
  <r>
    <s v="EMP0186"/>
    <n v="51"/>
    <x v="1"/>
    <x v="3"/>
    <x v="3"/>
    <n v="87758"/>
    <n v="87758"/>
    <n v="4"/>
    <n v="1"/>
    <x v="0"/>
    <n v="16"/>
    <x v="0"/>
    <x v="1"/>
    <n v="41"/>
    <s v="Chennai"/>
  </r>
  <r>
    <s v="EMP0187"/>
    <n v="53"/>
    <x v="1"/>
    <x v="5"/>
    <x v="3"/>
    <n v="30624"/>
    <n v="30624"/>
    <n v="2"/>
    <n v="2"/>
    <x v="0"/>
    <n v="19"/>
    <x v="0"/>
    <x v="2"/>
    <n v="39"/>
    <s v="Mumbai"/>
  </r>
  <r>
    <s v="EMP0188"/>
    <n v="26"/>
    <x v="1"/>
    <x v="4"/>
    <x v="2"/>
    <n v="92055"/>
    <n v="92055"/>
    <n v="2"/>
    <n v="3"/>
    <x v="0"/>
    <n v="20"/>
    <x v="1"/>
    <x v="0"/>
    <n v="56"/>
    <s v="Mumbai"/>
  </r>
  <r>
    <s v="EMP0189"/>
    <n v="45"/>
    <x v="1"/>
    <x v="3"/>
    <x v="4"/>
    <n v="19238"/>
    <n v="19238"/>
    <n v="1"/>
    <n v="4"/>
    <x v="1"/>
    <n v="20"/>
    <x v="0"/>
    <x v="1"/>
    <n v="17"/>
    <s v="Delhi"/>
  </r>
  <r>
    <s v="EMP0190"/>
    <n v="23"/>
    <x v="0"/>
    <x v="5"/>
    <x v="4"/>
    <n v="92289"/>
    <n v="92289"/>
    <n v="3"/>
    <n v="1"/>
    <x v="0"/>
    <n v="8"/>
    <x v="1"/>
    <x v="0"/>
    <n v="45"/>
    <s v="Chennai"/>
  </r>
  <r>
    <s v="EMP0191"/>
    <n v="34"/>
    <x v="0"/>
    <x v="0"/>
    <x v="2"/>
    <n v="28084"/>
    <n v="28084"/>
    <n v="2"/>
    <n v="5"/>
    <x v="0"/>
    <n v="18"/>
    <x v="0"/>
    <x v="1"/>
    <n v="74"/>
    <s v="Hyderabad"/>
  </r>
  <r>
    <s v="EMP0192"/>
    <n v="45"/>
    <x v="0"/>
    <x v="0"/>
    <x v="4"/>
    <n v="68925"/>
    <n v="68925"/>
    <n v="3"/>
    <n v="1"/>
    <x v="0"/>
    <n v="13"/>
    <x v="1"/>
    <x v="0"/>
    <n v="48"/>
    <s v="Delhi"/>
  </r>
  <r>
    <s v="EMP0193"/>
    <n v="46"/>
    <x v="1"/>
    <x v="3"/>
    <x v="4"/>
    <n v="53825"/>
    <n v="53825"/>
    <n v="4"/>
    <n v="2"/>
    <x v="1"/>
    <n v="17"/>
    <x v="0"/>
    <x v="2"/>
    <n v="28"/>
    <s v="Delhi"/>
  </r>
  <r>
    <s v="EMP0194"/>
    <n v="45"/>
    <x v="0"/>
    <x v="1"/>
    <x v="0"/>
    <n v="50302"/>
    <n v="50302"/>
    <n v="1"/>
    <n v="3"/>
    <x v="0"/>
    <n v="12"/>
    <x v="1"/>
    <x v="1"/>
    <n v="54"/>
    <s v="Hyderabad"/>
  </r>
  <r>
    <s v="EMP0195"/>
    <n v="44"/>
    <x v="0"/>
    <x v="3"/>
    <x v="3"/>
    <n v="58405"/>
    <n v="58405"/>
    <n v="3"/>
    <n v="3"/>
    <x v="0"/>
    <n v="4"/>
    <x v="1"/>
    <x v="0"/>
    <n v="60"/>
    <s v="Mumbai"/>
  </r>
  <r>
    <s v="EMP0196"/>
    <n v="56"/>
    <x v="1"/>
    <x v="3"/>
    <x v="3"/>
    <n v="29746"/>
    <n v="29746"/>
    <n v="5"/>
    <n v="1"/>
    <x v="1"/>
    <n v="12"/>
    <x v="1"/>
    <x v="2"/>
    <n v="57"/>
    <s v="Mumbai"/>
  </r>
  <r>
    <s v="EMP0197"/>
    <n v="26"/>
    <x v="0"/>
    <x v="1"/>
    <x v="13"/>
    <n v="40227"/>
    <n v="40227"/>
    <n v="2"/>
    <n v="2"/>
    <x v="1"/>
    <n v="9"/>
    <x v="0"/>
    <x v="2"/>
    <n v="23"/>
    <s v="Chennai"/>
  </r>
  <r>
    <s v="EMP0198"/>
    <n v="31"/>
    <x v="1"/>
    <x v="2"/>
    <x v="2"/>
    <n v="57289"/>
    <n v="57289"/>
    <n v="1"/>
    <n v="3"/>
    <x v="1"/>
    <n v="7"/>
    <x v="0"/>
    <x v="1"/>
    <n v="30"/>
    <s v="Mumbai"/>
  </r>
  <r>
    <s v="EMP0199"/>
    <n v="27"/>
    <x v="0"/>
    <x v="2"/>
    <x v="3"/>
    <n v="68925"/>
    <n v="68925"/>
    <n v="5"/>
    <n v="4"/>
    <x v="1"/>
    <n v="14"/>
    <x v="0"/>
    <x v="2"/>
    <n v="22"/>
    <s v="Hyderabad"/>
  </r>
  <r>
    <s v="EMP0200"/>
    <n v="41"/>
    <x v="0"/>
    <x v="4"/>
    <x v="0"/>
    <n v="41283"/>
    <n v="41283"/>
    <n v="3"/>
    <n v="3"/>
    <x v="1"/>
    <n v="18"/>
    <x v="1"/>
    <x v="2"/>
    <n v="53"/>
    <s v="Hyderabad"/>
  </r>
  <r>
    <s v="EMP0201"/>
    <n v="46"/>
    <x v="1"/>
    <x v="3"/>
    <x v="1"/>
    <n v="44188"/>
    <n v="44188"/>
    <n v="5"/>
    <n v="2"/>
    <x v="0"/>
    <n v="14"/>
    <x v="1"/>
    <x v="2"/>
    <n v="42"/>
    <s v="Chennai"/>
  </r>
  <r>
    <s v="EMP0202"/>
    <n v="47"/>
    <x v="1"/>
    <x v="5"/>
    <x v="4"/>
    <n v="57692"/>
    <n v="57692"/>
    <n v="3"/>
    <n v="2"/>
    <x v="1"/>
    <n v="12"/>
    <x v="1"/>
    <x v="2"/>
    <n v="66"/>
    <s v="Delhi"/>
  </r>
  <r>
    <s v="EMP0203"/>
    <n v="46"/>
    <x v="1"/>
    <x v="1"/>
    <x v="3"/>
    <n v="65124"/>
    <n v="65124"/>
    <n v="5"/>
    <n v="1"/>
    <x v="0"/>
    <n v="7"/>
    <x v="0"/>
    <x v="0"/>
    <n v="10"/>
    <s v="Delhi"/>
  </r>
  <r>
    <s v="EMP0204"/>
    <n v="46"/>
    <x v="1"/>
    <x v="4"/>
    <x v="3"/>
    <n v="19382"/>
    <n v="19382"/>
    <n v="3"/>
    <n v="2"/>
    <x v="0"/>
    <n v="14"/>
    <x v="0"/>
    <x v="2"/>
    <n v="64"/>
    <s v="Delhi"/>
  </r>
  <r>
    <s v="EMP0205"/>
    <n v="53"/>
    <x v="0"/>
    <x v="2"/>
    <x v="3"/>
    <n v="81277"/>
    <n v="81277"/>
    <n v="3"/>
    <n v="4"/>
    <x v="0"/>
    <n v="3"/>
    <x v="1"/>
    <x v="2"/>
    <n v="44"/>
    <s v="Hyderabad"/>
  </r>
  <r>
    <s v="EMP0206"/>
    <n v="50"/>
    <x v="0"/>
    <x v="1"/>
    <x v="2"/>
    <n v="63652"/>
    <n v="63652"/>
    <n v="1"/>
    <n v="4"/>
    <x v="1"/>
    <n v="10"/>
    <x v="1"/>
    <x v="2"/>
    <n v="10"/>
    <s v="Chennai"/>
  </r>
  <r>
    <s v="EMP0207"/>
    <n v="22"/>
    <x v="1"/>
    <x v="0"/>
    <x v="3"/>
    <n v="106754"/>
    <n v="106754"/>
    <n v="2"/>
    <n v="5"/>
    <x v="0"/>
    <n v="17"/>
    <x v="1"/>
    <x v="2"/>
    <n v="76"/>
    <s v="Mumbai"/>
  </r>
  <r>
    <s v="EMP0208"/>
    <n v="50"/>
    <x v="0"/>
    <x v="4"/>
    <x v="4"/>
    <n v="42176"/>
    <n v="42176"/>
    <n v="4"/>
    <n v="4"/>
    <x v="0"/>
    <n v="19"/>
    <x v="1"/>
    <x v="2"/>
    <n v="80"/>
    <s v="Mumbai"/>
  </r>
  <r>
    <s v="EMP0209"/>
    <n v="45"/>
    <x v="0"/>
    <x v="0"/>
    <x v="6"/>
    <n v="44972"/>
    <n v="44972"/>
    <n v="1"/>
    <n v="5"/>
    <x v="0"/>
    <n v="17"/>
    <x v="1"/>
    <x v="2"/>
    <n v="46"/>
    <s v="Bangalore"/>
  </r>
  <r>
    <s v="EMP0210"/>
    <n v="50"/>
    <x v="0"/>
    <x v="2"/>
    <x v="4"/>
    <n v="82157"/>
    <n v="82157"/>
    <n v="3"/>
    <n v="5"/>
    <x v="1"/>
    <n v="19"/>
    <x v="0"/>
    <x v="1"/>
    <n v="19"/>
    <s v="Hyderabad"/>
  </r>
  <r>
    <s v="EMP0211"/>
    <n v="39"/>
    <x v="1"/>
    <x v="1"/>
    <x v="6"/>
    <n v="106288"/>
    <n v="106288"/>
    <n v="5"/>
    <n v="5"/>
    <x v="0"/>
    <n v="4"/>
    <x v="0"/>
    <x v="0"/>
    <n v="35"/>
    <s v="Hyderabad"/>
  </r>
  <r>
    <s v="EMP0212"/>
    <n v="28"/>
    <x v="0"/>
    <x v="2"/>
    <x v="4"/>
    <n v="36528"/>
    <n v="36528"/>
    <n v="4"/>
    <n v="4"/>
    <x v="0"/>
    <n v="18"/>
    <x v="0"/>
    <x v="2"/>
    <n v="28"/>
    <s v="Mumbai"/>
  </r>
  <r>
    <s v="EMP0213"/>
    <n v="55"/>
    <x v="0"/>
    <x v="1"/>
    <x v="6"/>
    <n v="82178"/>
    <n v="82178"/>
    <n v="2"/>
    <n v="2"/>
    <x v="1"/>
    <n v="14"/>
    <x v="1"/>
    <x v="2"/>
    <n v="6"/>
    <s v="Mumbai"/>
  </r>
  <r>
    <s v="EMP0214"/>
    <n v="29"/>
    <x v="0"/>
    <x v="4"/>
    <x v="1"/>
    <n v="84248"/>
    <n v="84248"/>
    <n v="3"/>
    <n v="4"/>
    <x v="1"/>
    <n v="14"/>
    <x v="0"/>
    <x v="0"/>
    <n v="15"/>
    <s v="Delhi"/>
  </r>
  <r>
    <s v="EMP0215"/>
    <n v="22"/>
    <x v="0"/>
    <x v="2"/>
    <x v="3"/>
    <n v="54025"/>
    <n v="54025"/>
    <n v="5"/>
    <n v="3"/>
    <x v="0"/>
    <n v="14"/>
    <x v="0"/>
    <x v="1"/>
    <n v="70"/>
    <s v="Chennai"/>
  </r>
  <r>
    <s v="EMP0216"/>
    <n v="57"/>
    <x v="0"/>
    <x v="2"/>
    <x v="1"/>
    <n v="66085"/>
    <n v="66085"/>
    <n v="1"/>
    <n v="4"/>
    <x v="0"/>
    <n v="13"/>
    <x v="1"/>
    <x v="1"/>
    <n v="36"/>
    <s v="Hyderabad"/>
  </r>
  <r>
    <s v="EMP0217"/>
    <n v="23"/>
    <x v="1"/>
    <x v="2"/>
    <x v="0"/>
    <n v="29401"/>
    <n v="29401"/>
    <n v="1"/>
    <n v="2"/>
    <x v="0"/>
    <n v="18"/>
    <x v="0"/>
    <x v="1"/>
    <n v="59"/>
    <s v="Bangalore"/>
  </r>
  <r>
    <s v="EMP0218"/>
    <n v="29"/>
    <x v="0"/>
    <x v="5"/>
    <x v="3"/>
    <n v="92720"/>
    <n v="92720"/>
    <n v="3"/>
    <n v="3"/>
    <x v="0"/>
    <n v="10"/>
    <x v="0"/>
    <x v="2"/>
    <n v="78"/>
    <s v="Hyderabad"/>
  </r>
  <r>
    <s v="EMP0219"/>
    <n v="53"/>
    <x v="0"/>
    <x v="5"/>
    <x v="2"/>
    <n v="25770"/>
    <n v="25770"/>
    <n v="2"/>
    <n v="2"/>
    <x v="0"/>
    <n v="4"/>
    <x v="0"/>
    <x v="0"/>
    <n v="55"/>
    <s v="Mumbai"/>
  </r>
  <r>
    <s v="EMP0220"/>
    <n v="30"/>
    <x v="1"/>
    <x v="0"/>
    <x v="2"/>
    <n v="67174"/>
    <n v="67174"/>
    <n v="1"/>
    <n v="3"/>
    <x v="1"/>
    <n v="16"/>
    <x v="0"/>
    <x v="1"/>
    <n v="52"/>
    <s v="Mumbai"/>
  </r>
  <r>
    <s v="EMP0221"/>
    <n v="52"/>
    <x v="1"/>
    <x v="1"/>
    <x v="3"/>
    <n v="119467"/>
    <n v="119467"/>
    <n v="4"/>
    <n v="3"/>
    <x v="0"/>
    <n v="17"/>
    <x v="0"/>
    <x v="0"/>
    <n v="59"/>
    <s v="Bangalore"/>
  </r>
  <r>
    <s v="EMP0222"/>
    <n v="52"/>
    <x v="1"/>
    <x v="2"/>
    <x v="0"/>
    <n v="62270"/>
    <n v="62270"/>
    <n v="5"/>
    <n v="2"/>
    <x v="1"/>
    <n v="10"/>
    <x v="1"/>
    <x v="0"/>
    <n v="17"/>
    <s v="Mumbai"/>
  </r>
  <r>
    <s v="EMP0223"/>
    <n v="22"/>
    <x v="0"/>
    <x v="5"/>
    <x v="2"/>
    <n v="77836"/>
    <n v="77836"/>
    <n v="4"/>
    <n v="3"/>
    <x v="0"/>
    <n v="20"/>
    <x v="0"/>
    <x v="0"/>
    <n v="40"/>
    <s v="Chennai"/>
  </r>
  <r>
    <s v="EMP0224"/>
    <n v="44"/>
    <x v="1"/>
    <x v="3"/>
    <x v="0"/>
    <n v="68925"/>
    <n v="68925"/>
    <n v="1"/>
    <n v="4"/>
    <x v="1"/>
    <n v="7"/>
    <x v="0"/>
    <x v="1"/>
    <n v="16"/>
    <s v="Chennai"/>
  </r>
  <r>
    <s v="EMP0225"/>
    <n v="21"/>
    <x v="0"/>
    <x v="4"/>
    <x v="3"/>
    <n v="35393"/>
    <n v="35393"/>
    <n v="2"/>
    <n v="5"/>
    <x v="1"/>
    <n v="0"/>
    <x v="1"/>
    <x v="1"/>
    <n v="48"/>
    <s v="Chennai"/>
  </r>
  <r>
    <s v="EMP0226"/>
    <n v="48"/>
    <x v="0"/>
    <x v="4"/>
    <x v="3"/>
    <n v="48008"/>
    <n v="48008"/>
    <n v="1"/>
    <n v="1"/>
    <x v="0"/>
    <n v="10"/>
    <x v="0"/>
    <x v="2"/>
    <n v="22"/>
    <s v="Mumbai"/>
  </r>
  <r>
    <s v="EMP0227"/>
    <n v="29"/>
    <x v="0"/>
    <x v="3"/>
    <x v="1"/>
    <n v="91831"/>
    <n v="91831"/>
    <n v="5"/>
    <n v="2"/>
    <x v="1"/>
    <n v="11"/>
    <x v="1"/>
    <x v="1"/>
    <n v="24"/>
    <s v="Mumbai"/>
  </r>
  <r>
    <s v="EMP0228"/>
    <n v="49"/>
    <x v="0"/>
    <x v="3"/>
    <x v="3"/>
    <n v="36351"/>
    <n v="36351"/>
    <n v="5"/>
    <n v="4"/>
    <x v="1"/>
    <n v="13"/>
    <x v="0"/>
    <x v="0"/>
    <n v="36"/>
    <s v="Hyderabad"/>
  </r>
  <r>
    <s v="EMP0229"/>
    <n v="26"/>
    <x v="0"/>
    <x v="1"/>
    <x v="1"/>
    <n v="96644"/>
    <n v="96644"/>
    <n v="3"/>
    <n v="1"/>
    <x v="1"/>
    <n v="6"/>
    <x v="1"/>
    <x v="1"/>
    <n v="55"/>
    <s v="Hyderabad"/>
  </r>
  <r>
    <s v="EMP0230"/>
    <n v="24"/>
    <x v="0"/>
    <x v="4"/>
    <x v="2"/>
    <n v="32777"/>
    <n v="32777"/>
    <n v="4"/>
    <n v="5"/>
    <x v="0"/>
    <n v="16"/>
    <x v="1"/>
    <x v="2"/>
    <n v="45"/>
    <s v="Bangalore"/>
  </r>
  <r>
    <s v="EMP0231"/>
    <n v="45"/>
    <x v="1"/>
    <x v="2"/>
    <x v="1"/>
    <n v="107514"/>
    <n v="107514"/>
    <n v="4"/>
    <n v="1"/>
    <x v="0"/>
    <n v="18"/>
    <x v="1"/>
    <x v="0"/>
    <n v="38"/>
    <s v="Bangalore"/>
  </r>
  <r>
    <s v="EMP0232"/>
    <n v="23"/>
    <x v="0"/>
    <x v="4"/>
    <x v="1"/>
    <n v="55550"/>
    <n v="55550"/>
    <n v="4"/>
    <n v="4"/>
    <x v="1"/>
    <n v="2"/>
    <x v="1"/>
    <x v="2"/>
    <n v="15"/>
    <s v="Hyderabad"/>
  </r>
  <r>
    <s v="EMP0233"/>
    <n v="26"/>
    <x v="0"/>
    <x v="5"/>
    <x v="1"/>
    <n v="68925"/>
    <n v="68925"/>
    <n v="5"/>
    <n v="1"/>
    <x v="1"/>
    <n v="13"/>
    <x v="1"/>
    <x v="0"/>
    <n v="36"/>
    <s v="Chennai"/>
  </r>
  <r>
    <s v="EMP0234"/>
    <n v="48"/>
    <x v="0"/>
    <x v="4"/>
    <x v="1"/>
    <n v="97800"/>
    <n v="97800"/>
    <n v="3"/>
    <n v="2"/>
    <x v="0"/>
    <n v="0"/>
    <x v="1"/>
    <x v="1"/>
    <n v="6"/>
    <s v="Bangalore"/>
  </r>
  <r>
    <s v="EMP0235"/>
    <n v="52"/>
    <x v="1"/>
    <x v="1"/>
    <x v="1"/>
    <n v="68925"/>
    <n v="68925"/>
    <n v="2"/>
    <n v="3"/>
    <x v="0"/>
    <n v="8"/>
    <x v="1"/>
    <x v="0"/>
    <n v="47"/>
    <s v="Mumbai"/>
  </r>
  <r>
    <s v="EMP0236"/>
    <n v="38"/>
    <x v="0"/>
    <x v="2"/>
    <x v="4"/>
    <n v="93582"/>
    <n v="93582"/>
    <n v="4"/>
    <n v="4"/>
    <x v="1"/>
    <n v="1"/>
    <x v="0"/>
    <x v="1"/>
    <n v="26"/>
    <s v="Hyderabad"/>
  </r>
  <r>
    <s v="EMP0237"/>
    <n v="31"/>
    <x v="1"/>
    <x v="3"/>
    <x v="1"/>
    <n v="106358"/>
    <n v="106358"/>
    <n v="2"/>
    <n v="3"/>
    <x v="0"/>
    <n v="1"/>
    <x v="1"/>
    <x v="0"/>
    <n v="10"/>
    <s v="Mumbai"/>
  </r>
  <r>
    <s v="EMP0238"/>
    <n v="44"/>
    <x v="1"/>
    <x v="5"/>
    <x v="6"/>
    <n v="22635"/>
    <n v="22635"/>
    <n v="4"/>
    <n v="2"/>
    <x v="1"/>
    <n v="7"/>
    <x v="0"/>
    <x v="1"/>
    <n v="45"/>
    <s v="Hyderabad"/>
  </r>
  <r>
    <s v="EMP0239"/>
    <n v="25"/>
    <x v="1"/>
    <x v="3"/>
    <x v="1"/>
    <n v="106254"/>
    <n v="106254"/>
    <n v="2"/>
    <n v="2"/>
    <x v="0"/>
    <n v="12"/>
    <x v="1"/>
    <x v="2"/>
    <n v="41"/>
    <s v="Hyderabad"/>
  </r>
  <r>
    <s v="EMP0240"/>
    <n v="41"/>
    <x v="0"/>
    <x v="1"/>
    <x v="2"/>
    <n v="19044"/>
    <n v="19044"/>
    <n v="2"/>
    <n v="3"/>
    <x v="1"/>
    <n v="19"/>
    <x v="1"/>
    <x v="2"/>
    <n v="52"/>
    <s v="Delhi"/>
  </r>
  <r>
    <s v="EMP0241"/>
    <n v="52"/>
    <x v="0"/>
    <x v="0"/>
    <x v="1"/>
    <n v="117677"/>
    <n v="117677"/>
    <n v="3"/>
    <n v="1"/>
    <x v="1"/>
    <n v="0"/>
    <x v="1"/>
    <x v="1"/>
    <n v="49"/>
    <s v="Chennai"/>
  </r>
  <r>
    <s v="EMP0242"/>
    <n v="42"/>
    <x v="0"/>
    <x v="0"/>
    <x v="2"/>
    <n v="114741"/>
    <n v="114741"/>
    <n v="1"/>
    <n v="2"/>
    <x v="0"/>
    <n v="13"/>
    <x v="0"/>
    <x v="0"/>
    <n v="23"/>
    <s v="Hyderabad"/>
  </r>
  <r>
    <s v="EMP0243"/>
    <n v="26"/>
    <x v="0"/>
    <x v="5"/>
    <x v="1"/>
    <n v="72140"/>
    <n v="72140"/>
    <n v="4"/>
    <n v="3"/>
    <x v="0"/>
    <n v="16"/>
    <x v="1"/>
    <x v="1"/>
    <n v="55"/>
    <s v="Chennai"/>
  </r>
  <r>
    <s v="EMP0244"/>
    <n v="58"/>
    <x v="0"/>
    <x v="4"/>
    <x v="4"/>
    <n v="35132"/>
    <n v="35132"/>
    <n v="3"/>
    <n v="3"/>
    <x v="1"/>
    <n v="12"/>
    <x v="0"/>
    <x v="2"/>
    <n v="62"/>
    <s v="Hyderabad"/>
  </r>
  <r>
    <s v="EMP0245"/>
    <n v="35"/>
    <x v="0"/>
    <x v="5"/>
    <x v="6"/>
    <n v="118944"/>
    <n v="118944"/>
    <n v="1"/>
    <n v="2"/>
    <x v="0"/>
    <n v="5"/>
    <x v="0"/>
    <x v="2"/>
    <n v="45"/>
    <s v="Mumbai"/>
  </r>
  <r>
    <s v="EMP0246"/>
    <n v="28"/>
    <x v="1"/>
    <x v="5"/>
    <x v="2"/>
    <n v="58410"/>
    <n v="58410"/>
    <n v="3"/>
    <n v="1"/>
    <x v="0"/>
    <n v="5"/>
    <x v="0"/>
    <x v="1"/>
    <n v="10"/>
    <s v="Bangalore"/>
  </r>
  <r>
    <s v="EMP0247"/>
    <n v="41"/>
    <x v="0"/>
    <x v="3"/>
    <x v="4"/>
    <n v="50534"/>
    <n v="50534"/>
    <n v="4"/>
    <n v="5"/>
    <x v="0"/>
    <n v="9"/>
    <x v="0"/>
    <x v="0"/>
    <n v="8"/>
    <s v="Mumbai"/>
  </r>
  <r>
    <s v="EMP0248"/>
    <n v="49"/>
    <x v="0"/>
    <x v="3"/>
    <x v="2"/>
    <n v="31357"/>
    <n v="31357"/>
    <n v="1"/>
    <n v="1"/>
    <x v="0"/>
    <n v="7"/>
    <x v="1"/>
    <x v="0"/>
    <n v="56"/>
    <s v="Hyderabad"/>
  </r>
  <r>
    <s v="EMP0249"/>
    <n v="26"/>
    <x v="1"/>
    <x v="3"/>
    <x v="3"/>
    <n v="26450"/>
    <n v="26450"/>
    <n v="4"/>
    <n v="2"/>
    <x v="0"/>
    <n v="10"/>
    <x v="1"/>
    <x v="0"/>
    <n v="64"/>
    <s v="Chennai"/>
  </r>
  <r>
    <s v="EMP0250"/>
    <n v="31"/>
    <x v="1"/>
    <x v="0"/>
    <x v="2"/>
    <n v="83028"/>
    <n v="83028"/>
    <n v="4"/>
    <n v="4"/>
    <x v="0"/>
    <n v="11"/>
    <x v="1"/>
    <x v="0"/>
    <n v="40"/>
    <s v="Hyderabad"/>
  </r>
  <r>
    <s v="EMP0251"/>
    <n v="39"/>
    <x v="0"/>
    <x v="3"/>
    <x v="1"/>
    <n v="99156"/>
    <n v="99156"/>
    <n v="2"/>
    <n v="3"/>
    <x v="1"/>
    <n v="13"/>
    <x v="0"/>
    <x v="0"/>
    <n v="16"/>
    <s v="Hyderabad"/>
  </r>
  <r>
    <s v="EMP0252"/>
    <n v="45"/>
    <x v="0"/>
    <x v="4"/>
    <x v="6"/>
    <n v="102233"/>
    <n v="102233"/>
    <n v="2"/>
    <n v="5"/>
    <x v="0"/>
    <n v="12"/>
    <x v="0"/>
    <x v="2"/>
    <n v="74"/>
    <s v="Mumbai"/>
  </r>
  <r>
    <s v="EMP0253"/>
    <n v="43"/>
    <x v="1"/>
    <x v="4"/>
    <x v="0"/>
    <n v="41568"/>
    <n v="41568"/>
    <n v="3"/>
    <n v="5"/>
    <x v="0"/>
    <n v="0"/>
    <x v="0"/>
    <x v="0"/>
    <n v="65"/>
    <s v="Delhi"/>
  </r>
  <r>
    <s v="EMP0254"/>
    <n v="43"/>
    <x v="0"/>
    <x v="5"/>
    <x v="3"/>
    <n v="50487"/>
    <n v="50487"/>
    <n v="3"/>
    <n v="5"/>
    <x v="0"/>
    <n v="7"/>
    <x v="0"/>
    <x v="2"/>
    <n v="27"/>
    <s v="Bangalore"/>
  </r>
  <r>
    <s v="EMP0255"/>
    <n v="36"/>
    <x v="1"/>
    <x v="0"/>
    <x v="4"/>
    <n v="65026"/>
    <n v="65026"/>
    <n v="1"/>
    <n v="3"/>
    <x v="0"/>
    <n v="18"/>
    <x v="1"/>
    <x v="2"/>
    <n v="74"/>
    <s v="Hyderabad"/>
  </r>
  <r>
    <s v="EMP0256"/>
    <n v="32"/>
    <x v="1"/>
    <x v="3"/>
    <x v="3"/>
    <n v="25362"/>
    <n v="25362"/>
    <n v="5"/>
    <n v="2"/>
    <x v="0"/>
    <n v="16"/>
    <x v="0"/>
    <x v="0"/>
    <n v="47"/>
    <s v="Delhi"/>
  </r>
  <r>
    <s v="EMP0257"/>
    <n v="33"/>
    <x v="0"/>
    <x v="2"/>
    <x v="4"/>
    <n v="41260"/>
    <n v="41260"/>
    <n v="1"/>
    <n v="1"/>
    <x v="0"/>
    <n v="18"/>
    <x v="1"/>
    <x v="0"/>
    <n v="72"/>
    <s v="Hyderabad"/>
  </r>
  <r>
    <s v="EMP0258"/>
    <n v="25"/>
    <x v="1"/>
    <x v="0"/>
    <x v="4"/>
    <n v="69851"/>
    <n v="69851"/>
    <n v="1"/>
    <n v="3"/>
    <x v="1"/>
    <n v="10"/>
    <x v="1"/>
    <x v="0"/>
    <n v="60"/>
    <s v="Mumbai"/>
  </r>
  <r>
    <s v="EMP0259"/>
    <n v="41"/>
    <x v="0"/>
    <x v="0"/>
    <x v="1"/>
    <n v="108906"/>
    <n v="108906"/>
    <n v="3"/>
    <n v="2"/>
    <x v="0"/>
    <n v="12"/>
    <x v="0"/>
    <x v="1"/>
    <n v="42"/>
    <s v="Bangalore"/>
  </r>
  <r>
    <s v="EMP0260"/>
    <n v="32"/>
    <x v="0"/>
    <x v="0"/>
    <x v="1"/>
    <n v="69327"/>
    <n v="69327"/>
    <n v="1"/>
    <n v="2"/>
    <x v="1"/>
    <n v="19"/>
    <x v="1"/>
    <x v="1"/>
    <n v="77"/>
    <s v="Chennai"/>
  </r>
  <r>
    <s v="EMP0261"/>
    <n v="52"/>
    <x v="0"/>
    <x v="2"/>
    <x v="4"/>
    <n v="28198"/>
    <n v="28198"/>
    <n v="3"/>
    <n v="3"/>
    <x v="0"/>
    <n v="20"/>
    <x v="1"/>
    <x v="1"/>
    <n v="47"/>
    <s v="Mumbai"/>
  </r>
  <r>
    <s v="EMP0262"/>
    <n v="21"/>
    <x v="1"/>
    <x v="5"/>
    <x v="6"/>
    <n v="108855"/>
    <n v="108855"/>
    <n v="3"/>
    <n v="3"/>
    <x v="0"/>
    <n v="0"/>
    <x v="1"/>
    <x v="2"/>
    <n v="61"/>
    <s v="Mumbai"/>
  </r>
  <r>
    <s v="EMP0263"/>
    <n v="31"/>
    <x v="1"/>
    <x v="4"/>
    <x v="2"/>
    <n v="64036"/>
    <n v="64036"/>
    <n v="4"/>
    <n v="1"/>
    <x v="1"/>
    <n v="18"/>
    <x v="1"/>
    <x v="0"/>
    <n v="62"/>
    <s v="Chennai"/>
  </r>
  <r>
    <s v="EMP0264"/>
    <n v="23"/>
    <x v="1"/>
    <x v="3"/>
    <x v="0"/>
    <n v="52226"/>
    <n v="52226"/>
    <n v="1"/>
    <n v="3"/>
    <x v="0"/>
    <n v="12"/>
    <x v="1"/>
    <x v="1"/>
    <n v="14"/>
    <s v="Delhi"/>
  </r>
  <r>
    <s v="EMP0265"/>
    <n v="26"/>
    <x v="1"/>
    <x v="1"/>
    <x v="1"/>
    <n v="81273"/>
    <n v="81273"/>
    <n v="4"/>
    <n v="2"/>
    <x v="1"/>
    <n v="5"/>
    <x v="1"/>
    <x v="0"/>
    <n v="47"/>
    <s v="Bangalore"/>
  </r>
  <r>
    <s v="EMP0266"/>
    <n v="33"/>
    <x v="1"/>
    <x v="0"/>
    <x v="1"/>
    <n v="112638"/>
    <n v="112638"/>
    <n v="3"/>
    <n v="3"/>
    <x v="1"/>
    <n v="7"/>
    <x v="1"/>
    <x v="0"/>
    <n v="55"/>
    <s v="Delhi"/>
  </r>
  <r>
    <s v="EMP0267"/>
    <n v="56"/>
    <x v="1"/>
    <x v="5"/>
    <x v="3"/>
    <n v="65294"/>
    <n v="65294"/>
    <n v="4"/>
    <n v="1"/>
    <x v="1"/>
    <n v="20"/>
    <x v="0"/>
    <x v="0"/>
    <n v="17"/>
    <s v="Chennai"/>
  </r>
  <r>
    <s v="EMP0268"/>
    <n v="39"/>
    <x v="0"/>
    <x v="0"/>
    <x v="0"/>
    <n v="28739"/>
    <n v="28739"/>
    <n v="1"/>
    <n v="3"/>
    <x v="1"/>
    <n v="15"/>
    <x v="0"/>
    <x v="1"/>
    <n v="38"/>
    <s v="Chennai"/>
  </r>
  <r>
    <s v="EMP0269"/>
    <n v="55"/>
    <x v="1"/>
    <x v="5"/>
    <x v="0"/>
    <n v="67996"/>
    <n v="67996"/>
    <n v="2"/>
    <n v="4"/>
    <x v="0"/>
    <n v="8"/>
    <x v="0"/>
    <x v="2"/>
    <n v="38"/>
    <s v="Bangalore"/>
  </r>
  <r>
    <s v="EMP0270"/>
    <n v="38"/>
    <x v="0"/>
    <x v="5"/>
    <x v="4"/>
    <n v="105486"/>
    <n v="105486"/>
    <n v="1"/>
    <n v="3"/>
    <x v="1"/>
    <n v="18"/>
    <x v="1"/>
    <x v="1"/>
    <n v="12"/>
    <s v="Mumbai"/>
  </r>
  <r>
    <s v="EMP0271"/>
    <n v="54"/>
    <x v="1"/>
    <x v="1"/>
    <x v="4"/>
    <n v="80236"/>
    <n v="80236"/>
    <n v="2"/>
    <n v="4"/>
    <x v="1"/>
    <n v="2"/>
    <x v="0"/>
    <x v="1"/>
    <n v="9"/>
    <s v="Delhi"/>
  </r>
  <r>
    <s v="EMP0272"/>
    <n v="57"/>
    <x v="0"/>
    <x v="3"/>
    <x v="2"/>
    <n v="40659"/>
    <n v="40659"/>
    <n v="3"/>
    <n v="2"/>
    <x v="0"/>
    <n v="1"/>
    <x v="0"/>
    <x v="0"/>
    <n v="60"/>
    <s v="Bangalore"/>
  </r>
  <r>
    <s v="EMP0273"/>
    <n v="30"/>
    <x v="1"/>
    <x v="2"/>
    <x v="4"/>
    <n v="26783"/>
    <n v="26783"/>
    <n v="4"/>
    <n v="5"/>
    <x v="1"/>
    <n v="17"/>
    <x v="0"/>
    <x v="2"/>
    <n v="71"/>
    <s v="Mumbai"/>
  </r>
  <r>
    <s v="EMP0274"/>
    <n v="21"/>
    <x v="1"/>
    <x v="3"/>
    <x v="2"/>
    <n v="37613"/>
    <n v="37613"/>
    <n v="5"/>
    <n v="5"/>
    <x v="0"/>
    <n v="3"/>
    <x v="1"/>
    <x v="2"/>
    <n v="73"/>
    <s v="Hyderabad"/>
  </r>
  <r>
    <s v="EMP0275"/>
    <n v="47"/>
    <x v="1"/>
    <x v="4"/>
    <x v="4"/>
    <n v="81646"/>
    <n v="81646"/>
    <n v="5"/>
    <n v="4"/>
    <x v="0"/>
    <n v="5"/>
    <x v="0"/>
    <x v="2"/>
    <n v="23"/>
    <s v="Delhi"/>
  </r>
  <r>
    <s v="EMP0276"/>
    <n v="46"/>
    <x v="0"/>
    <x v="4"/>
    <x v="0"/>
    <n v="108507"/>
    <n v="108507"/>
    <n v="1"/>
    <n v="4"/>
    <x v="1"/>
    <n v="11"/>
    <x v="1"/>
    <x v="2"/>
    <n v="43"/>
    <s v="Hyderabad"/>
  </r>
  <r>
    <s v="EMP0277"/>
    <n v="38"/>
    <x v="1"/>
    <x v="0"/>
    <x v="4"/>
    <n v="30873"/>
    <n v="30873"/>
    <n v="2"/>
    <n v="3"/>
    <x v="1"/>
    <n v="10"/>
    <x v="0"/>
    <x v="1"/>
    <n v="58"/>
    <s v="Delhi"/>
  </r>
  <r>
    <s v="EMP0278"/>
    <n v="26"/>
    <x v="0"/>
    <x v="4"/>
    <x v="6"/>
    <n v="71368"/>
    <n v="71368"/>
    <n v="5"/>
    <n v="3"/>
    <x v="0"/>
    <n v="16"/>
    <x v="1"/>
    <x v="0"/>
    <n v="44"/>
    <s v="Delhi"/>
  </r>
  <r>
    <s v="EMP0279"/>
    <n v="46"/>
    <x v="0"/>
    <x v="1"/>
    <x v="1"/>
    <n v="21794"/>
    <n v="21794"/>
    <n v="2"/>
    <n v="2"/>
    <x v="0"/>
    <n v="7"/>
    <x v="1"/>
    <x v="2"/>
    <n v="11"/>
    <s v="Hyderabad"/>
  </r>
  <r>
    <s v="EMP0280"/>
    <n v="33"/>
    <x v="1"/>
    <x v="2"/>
    <x v="2"/>
    <n v="84207"/>
    <n v="84207"/>
    <n v="1"/>
    <n v="1"/>
    <x v="0"/>
    <n v="11"/>
    <x v="0"/>
    <x v="1"/>
    <n v="62"/>
    <s v="Bangalore"/>
  </r>
  <r>
    <s v="EMP0281"/>
    <n v="51"/>
    <x v="1"/>
    <x v="2"/>
    <x v="6"/>
    <n v="51903"/>
    <n v="51903"/>
    <n v="3"/>
    <n v="1"/>
    <x v="1"/>
    <n v="1"/>
    <x v="1"/>
    <x v="1"/>
    <n v="32"/>
    <s v="Bangalore"/>
  </r>
  <r>
    <s v="EMP0282"/>
    <n v="35"/>
    <x v="0"/>
    <x v="2"/>
    <x v="4"/>
    <n v="71674"/>
    <n v="71674"/>
    <n v="1"/>
    <n v="1"/>
    <x v="1"/>
    <n v="4"/>
    <x v="1"/>
    <x v="1"/>
    <n v="6"/>
    <s v="Bangalore"/>
  </r>
  <r>
    <s v="EMP0283"/>
    <n v="37"/>
    <x v="1"/>
    <x v="0"/>
    <x v="4"/>
    <n v="102245"/>
    <n v="102245"/>
    <n v="4"/>
    <n v="4"/>
    <x v="1"/>
    <n v="14"/>
    <x v="0"/>
    <x v="0"/>
    <n v="64"/>
    <s v="Hyderabad"/>
  </r>
  <r>
    <s v="EMP0284"/>
    <n v="39"/>
    <x v="1"/>
    <x v="1"/>
    <x v="3"/>
    <n v="18963"/>
    <n v="18963"/>
    <n v="3"/>
    <n v="5"/>
    <x v="1"/>
    <n v="9"/>
    <x v="1"/>
    <x v="2"/>
    <n v="13"/>
    <s v="Hyderabad"/>
  </r>
  <r>
    <s v="EMP0285"/>
    <n v="38"/>
    <x v="1"/>
    <x v="2"/>
    <x v="0"/>
    <n v="103998"/>
    <n v="103998"/>
    <n v="2"/>
    <n v="2"/>
    <x v="0"/>
    <n v="1"/>
    <x v="0"/>
    <x v="1"/>
    <n v="45"/>
    <s v="Bangalore"/>
  </r>
  <r>
    <s v="EMP0286"/>
    <n v="22"/>
    <x v="1"/>
    <x v="2"/>
    <x v="0"/>
    <n v="72862"/>
    <n v="72862"/>
    <n v="4"/>
    <n v="1"/>
    <x v="0"/>
    <n v="10"/>
    <x v="1"/>
    <x v="1"/>
    <n v="73"/>
    <s v="Mumbai"/>
  </r>
  <r>
    <s v="EMP0287"/>
    <n v="43"/>
    <x v="1"/>
    <x v="5"/>
    <x v="4"/>
    <n v="91170"/>
    <n v="91170"/>
    <n v="3"/>
    <n v="1"/>
    <x v="1"/>
    <n v="4"/>
    <x v="0"/>
    <x v="1"/>
    <n v="76"/>
    <s v="Bangalore"/>
  </r>
  <r>
    <s v="EMP0288"/>
    <n v="42"/>
    <x v="0"/>
    <x v="5"/>
    <x v="0"/>
    <n v="47272"/>
    <n v="47272"/>
    <n v="4"/>
    <n v="3"/>
    <x v="1"/>
    <n v="8"/>
    <x v="0"/>
    <x v="2"/>
    <n v="20"/>
    <s v="Mumbai"/>
  </r>
  <r>
    <s v="EMP0289"/>
    <n v="24"/>
    <x v="0"/>
    <x v="4"/>
    <x v="6"/>
    <n v="83598"/>
    <n v="83598"/>
    <n v="4"/>
    <n v="5"/>
    <x v="1"/>
    <n v="13"/>
    <x v="1"/>
    <x v="0"/>
    <n v="22"/>
    <s v="Bangalore"/>
  </r>
  <r>
    <s v="EMP0290"/>
    <n v="42"/>
    <x v="1"/>
    <x v="1"/>
    <x v="2"/>
    <n v="36772"/>
    <n v="36772"/>
    <n v="2"/>
    <n v="1"/>
    <x v="1"/>
    <n v="10"/>
    <x v="1"/>
    <x v="2"/>
    <n v="12"/>
    <s v="Chennai"/>
  </r>
  <r>
    <s v="EMP0291"/>
    <n v="49"/>
    <x v="1"/>
    <x v="5"/>
    <x v="6"/>
    <n v="93534"/>
    <n v="93534"/>
    <n v="4"/>
    <n v="1"/>
    <x v="0"/>
    <n v="19"/>
    <x v="0"/>
    <x v="1"/>
    <n v="59"/>
    <s v="Mumbai"/>
  </r>
  <r>
    <s v="EMP0292"/>
    <n v="48"/>
    <x v="1"/>
    <x v="4"/>
    <x v="3"/>
    <n v="22944"/>
    <n v="22944"/>
    <n v="2"/>
    <n v="3"/>
    <x v="0"/>
    <n v="10"/>
    <x v="1"/>
    <x v="0"/>
    <n v="5"/>
    <s v="Bangalore"/>
  </r>
  <r>
    <s v="EMP0293"/>
    <n v="35"/>
    <x v="1"/>
    <x v="2"/>
    <x v="6"/>
    <n v="31462"/>
    <n v="31462"/>
    <n v="5"/>
    <n v="5"/>
    <x v="1"/>
    <n v="5"/>
    <x v="1"/>
    <x v="0"/>
    <n v="43"/>
    <s v="Hyderabad"/>
  </r>
  <r>
    <s v="EMP0294"/>
    <n v="50"/>
    <x v="1"/>
    <x v="4"/>
    <x v="4"/>
    <n v="35536"/>
    <n v="35536"/>
    <n v="3"/>
    <n v="3"/>
    <x v="0"/>
    <n v="5"/>
    <x v="0"/>
    <x v="0"/>
    <n v="34"/>
    <s v="Bangalore"/>
  </r>
  <r>
    <s v="EMP0295"/>
    <n v="29"/>
    <x v="0"/>
    <x v="0"/>
    <x v="3"/>
    <n v="95292"/>
    <n v="95292"/>
    <n v="2"/>
    <n v="1"/>
    <x v="1"/>
    <n v="20"/>
    <x v="1"/>
    <x v="2"/>
    <n v="37"/>
    <s v="Delhi"/>
  </r>
  <r>
    <s v="EMP0296"/>
    <n v="39"/>
    <x v="0"/>
    <x v="0"/>
    <x v="3"/>
    <n v="103664"/>
    <n v="103664"/>
    <n v="1"/>
    <n v="1"/>
    <x v="1"/>
    <n v="14"/>
    <x v="0"/>
    <x v="0"/>
    <n v="75"/>
    <s v="Hyderabad"/>
  </r>
  <r>
    <s v="EMP0297"/>
    <n v="51"/>
    <x v="0"/>
    <x v="5"/>
    <x v="4"/>
    <n v="107881"/>
    <n v="107881"/>
    <n v="3"/>
    <n v="3"/>
    <x v="0"/>
    <n v="16"/>
    <x v="0"/>
    <x v="1"/>
    <n v="22"/>
    <s v="Mumbai"/>
  </r>
  <r>
    <s v="EMP0298"/>
    <n v="27"/>
    <x v="0"/>
    <x v="2"/>
    <x v="3"/>
    <n v="31928"/>
    <n v="31928"/>
    <n v="2"/>
    <n v="5"/>
    <x v="0"/>
    <n v="8"/>
    <x v="1"/>
    <x v="2"/>
    <n v="57"/>
    <s v="Hyderabad"/>
  </r>
  <r>
    <s v="EMP0299"/>
    <n v="31"/>
    <x v="0"/>
    <x v="1"/>
    <x v="2"/>
    <n v="45222"/>
    <n v="45222"/>
    <n v="3"/>
    <n v="2"/>
    <x v="0"/>
    <n v="0"/>
    <x v="1"/>
    <x v="0"/>
    <n v="78"/>
    <s v="Mumbai"/>
  </r>
  <r>
    <s v="EMP0300"/>
    <n v="30"/>
    <x v="0"/>
    <x v="1"/>
    <x v="3"/>
    <n v="112838"/>
    <n v="112838"/>
    <n v="3"/>
    <n v="2"/>
    <x v="1"/>
    <n v="9"/>
    <x v="0"/>
    <x v="2"/>
    <n v="11"/>
    <s v="Chennai"/>
  </r>
  <r>
    <s v="EMP0301"/>
    <n v="32"/>
    <x v="0"/>
    <x v="2"/>
    <x v="0"/>
    <n v="106705"/>
    <n v="106705"/>
    <n v="4"/>
    <n v="1"/>
    <x v="0"/>
    <n v="1"/>
    <x v="1"/>
    <x v="0"/>
    <n v="26"/>
    <s v="Hyderabad"/>
  </r>
  <r>
    <s v="EMP0302"/>
    <n v="43"/>
    <x v="1"/>
    <x v="1"/>
    <x v="0"/>
    <n v="114084"/>
    <n v="114084"/>
    <n v="3"/>
    <n v="3"/>
    <x v="0"/>
    <n v="3"/>
    <x v="0"/>
    <x v="2"/>
    <n v="63"/>
    <s v="Hyderabad"/>
  </r>
  <r>
    <s v="EMP0303"/>
    <n v="39"/>
    <x v="1"/>
    <x v="4"/>
    <x v="4"/>
    <n v="39860"/>
    <n v="39860"/>
    <n v="2"/>
    <n v="3"/>
    <x v="0"/>
    <n v="3"/>
    <x v="0"/>
    <x v="1"/>
    <n v="66"/>
    <s v="Delhi"/>
  </r>
  <r>
    <s v="EMP0304"/>
    <n v="49"/>
    <x v="0"/>
    <x v="1"/>
    <x v="2"/>
    <n v="65002"/>
    <n v="65002"/>
    <n v="1"/>
    <n v="2"/>
    <x v="1"/>
    <n v="15"/>
    <x v="1"/>
    <x v="2"/>
    <n v="61"/>
    <s v="Chennai"/>
  </r>
  <r>
    <s v="EMP0305"/>
    <n v="25"/>
    <x v="1"/>
    <x v="0"/>
    <x v="0"/>
    <n v="19620"/>
    <n v="19620"/>
    <n v="5"/>
    <n v="5"/>
    <x v="0"/>
    <n v="10"/>
    <x v="1"/>
    <x v="2"/>
    <n v="36"/>
    <s v="Mumbai"/>
  </r>
  <r>
    <s v="EMP0306"/>
    <n v="43"/>
    <x v="1"/>
    <x v="5"/>
    <x v="1"/>
    <n v="98335"/>
    <n v="98335"/>
    <n v="1"/>
    <n v="2"/>
    <x v="1"/>
    <n v="15"/>
    <x v="1"/>
    <x v="0"/>
    <n v="67"/>
    <s v="Hyderabad"/>
  </r>
  <r>
    <s v="EMP0307"/>
    <n v="36"/>
    <x v="1"/>
    <x v="2"/>
    <x v="3"/>
    <n v="84444"/>
    <n v="84444"/>
    <n v="5"/>
    <n v="4"/>
    <x v="1"/>
    <n v="7"/>
    <x v="1"/>
    <x v="2"/>
    <n v="61"/>
    <s v="Delhi"/>
  </r>
  <r>
    <s v="EMP0308"/>
    <n v="49"/>
    <x v="0"/>
    <x v="4"/>
    <x v="2"/>
    <n v="59426"/>
    <n v="59426"/>
    <n v="4"/>
    <n v="1"/>
    <x v="0"/>
    <n v="12"/>
    <x v="0"/>
    <x v="0"/>
    <n v="76"/>
    <s v="Delhi"/>
  </r>
  <r>
    <s v="EMP0309"/>
    <n v="21"/>
    <x v="0"/>
    <x v="1"/>
    <x v="1"/>
    <n v="101563"/>
    <n v="101563"/>
    <n v="5"/>
    <n v="5"/>
    <x v="0"/>
    <n v="20"/>
    <x v="0"/>
    <x v="2"/>
    <n v="51"/>
    <s v="Chennai"/>
  </r>
  <r>
    <s v="EMP0310"/>
    <n v="35"/>
    <x v="1"/>
    <x v="2"/>
    <x v="1"/>
    <n v="118586"/>
    <n v="118586"/>
    <n v="5"/>
    <n v="4"/>
    <x v="1"/>
    <n v="14"/>
    <x v="1"/>
    <x v="0"/>
    <n v="33"/>
    <s v="Chennai"/>
  </r>
  <r>
    <s v="EMP0311"/>
    <n v="42"/>
    <x v="1"/>
    <x v="0"/>
    <x v="0"/>
    <n v="89786"/>
    <n v="89786"/>
    <n v="3"/>
    <n v="1"/>
    <x v="0"/>
    <n v="5"/>
    <x v="0"/>
    <x v="0"/>
    <n v="57"/>
    <s v="Chennai"/>
  </r>
  <r>
    <s v="EMP0312"/>
    <n v="37"/>
    <x v="0"/>
    <x v="5"/>
    <x v="3"/>
    <n v="69497"/>
    <n v="69497"/>
    <n v="4"/>
    <n v="2"/>
    <x v="1"/>
    <n v="3"/>
    <x v="0"/>
    <x v="0"/>
    <n v="80"/>
    <s v="Chennai"/>
  </r>
  <r>
    <s v="EMP0313"/>
    <n v="49"/>
    <x v="1"/>
    <x v="0"/>
    <x v="1"/>
    <n v="68925"/>
    <n v="68925"/>
    <n v="4"/>
    <n v="1"/>
    <x v="0"/>
    <n v="17"/>
    <x v="0"/>
    <x v="1"/>
    <n v="66"/>
    <s v="Delhi"/>
  </r>
  <r>
    <s v="EMP0314"/>
    <n v="39"/>
    <x v="0"/>
    <x v="0"/>
    <x v="6"/>
    <n v="31573"/>
    <n v="31573"/>
    <n v="5"/>
    <n v="5"/>
    <x v="1"/>
    <n v="16"/>
    <x v="0"/>
    <x v="2"/>
    <n v="36"/>
    <s v="Hyderabad"/>
  </r>
  <r>
    <s v="EMP0315"/>
    <n v="46"/>
    <x v="1"/>
    <x v="2"/>
    <x v="2"/>
    <n v="35481"/>
    <n v="35481"/>
    <n v="4"/>
    <n v="5"/>
    <x v="1"/>
    <n v="17"/>
    <x v="0"/>
    <x v="1"/>
    <n v="75"/>
    <s v="Bangalore"/>
  </r>
  <r>
    <s v="EMP0316"/>
    <n v="33"/>
    <x v="0"/>
    <x v="1"/>
    <x v="4"/>
    <n v="56086"/>
    <n v="56086"/>
    <n v="2"/>
    <n v="2"/>
    <x v="1"/>
    <n v="3"/>
    <x v="0"/>
    <x v="1"/>
    <n v="66"/>
    <s v="Delhi"/>
  </r>
  <r>
    <s v="EMP0317"/>
    <n v="57"/>
    <x v="1"/>
    <x v="0"/>
    <x v="4"/>
    <n v="87979"/>
    <n v="87979"/>
    <n v="4"/>
    <n v="1"/>
    <x v="0"/>
    <n v="0"/>
    <x v="0"/>
    <x v="0"/>
    <n v="11"/>
    <s v="Chennai"/>
  </r>
  <r>
    <s v="EMP0318"/>
    <n v="33"/>
    <x v="1"/>
    <x v="5"/>
    <x v="0"/>
    <n v="107573"/>
    <n v="107573"/>
    <n v="2"/>
    <n v="1"/>
    <x v="1"/>
    <n v="6"/>
    <x v="1"/>
    <x v="2"/>
    <n v="62"/>
    <s v="Chennai"/>
  </r>
  <r>
    <s v="EMP0319"/>
    <n v="56"/>
    <x v="0"/>
    <x v="0"/>
    <x v="4"/>
    <n v="91566"/>
    <n v="91566"/>
    <n v="2"/>
    <n v="5"/>
    <x v="1"/>
    <n v="1"/>
    <x v="0"/>
    <x v="2"/>
    <n v="58"/>
    <s v="Hyderabad"/>
  </r>
  <r>
    <s v="EMP0320"/>
    <n v="56"/>
    <x v="0"/>
    <x v="3"/>
    <x v="4"/>
    <n v="50943"/>
    <n v="50943"/>
    <n v="5"/>
    <n v="4"/>
    <x v="0"/>
    <n v="20"/>
    <x v="0"/>
    <x v="1"/>
    <n v="74"/>
    <s v="Delhi"/>
  </r>
  <r>
    <s v="EMP0321"/>
    <n v="33"/>
    <x v="0"/>
    <x v="2"/>
    <x v="2"/>
    <n v="41255"/>
    <n v="41255"/>
    <n v="2"/>
    <n v="2"/>
    <x v="0"/>
    <n v="12"/>
    <x v="1"/>
    <x v="2"/>
    <n v="40"/>
    <s v="Delhi"/>
  </r>
  <r>
    <s v="EMP0322"/>
    <n v="37"/>
    <x v="0"/>
    <x v="5"/>
    <x v="1"/>
    <n v="51425"/>
    <n v="51425"/>
    <n v="3"/>
    <n v="4"/>
    <x v="0"/>
    <n v="1"/>
    <x v="1"/>
    <x v="2"/>
    <n v="11"/>
    <s v="Delhi"/>
  </r>
  <r>
    <s v="EMP0323"/>
    <n v="40"/>
    <x v="1"/>
    <x v="1"/>
    <x v="1"/>
    <n v="64934"/>
    <n v="64934"/>
    <n v="3"/>
    <n v="5"/>
    <x v="0"/>
    <n v="5"/>
    <x v="1"/>
    <x v="1"/>
    <n v="25"/>
    <s v="Mumbai"/>
  </r>
  <r>
    <s v="EMP0324"/>
    <n v="55"/>
    <x v="1"/>
    <x v="3"/>
    <x v="0"/>
    <n v="68925"/>
    <n v="68925"/>
    <n v="3"/>
    <n v="3"/>
    <x v="1"/>
    <n v="9"/>
    <x v="1"/>
    <x v="1"/>
    <n v="72"/>
    <s v="Mumbai"/>
  </r>
  <r>
    <s v="EMP0325"/>
    <n v="56"/>
    <x v="0"/>
    <x v="3"/>
    <x v="4"/>
    <n v="63351"/>
    <n v="63351"/>
    <n v="2"/>
    <n v="5"/>
    <x v="0"/>
    <n v="1"/>
    <x v="0"/>
    <x v="2"/>
    <n v="19"/>
    <s v="Mumbai"/>
  </r>
  <r>
    <s v="EMP0326"/>
    <n v="37"/>
    <x v="1"/>
    <x v="3"/>
    <x v="1"/>
    <n v="118990"/>
    <n v="118990"/>
    <n v="5"/>
    <n v="5"/>
    <x v="1"/>
    <n v="15"/>
    <x v="1"/>
    <x v="2"/>
    <n v="29"/>
    <s v="Hyderabad"/>
  </r>
  <r>
    <s v="EMP0327"/>
    <n v="39"/>
    <x v="0"/>
    <x v="3"/>
    <x v="6"/>
    <n v="119360"/>
    <n v="119360"/>
    <n v="5"/>
    <n v="1"/>
    <x v="0"/>
    <n v="6"/>
    <x v="1"/>
    <x v="1"/>
    <n v="59"/>
    <s v="Chennai"/>
  </r>
  <r>
    <s v="EMP0328"/>
    <n v="34"/>
    <x v="1"/>
    <x v="0"/>
    <x v="3"/>
    <n v="115896"/>
    <n v="115896"/>
    <n v="1"/>
    <n v="4"/>
    <x v="1"/>
    <n v="1"/>
    <x v="1"/>
    <x v="0"/>
    <n v="11"/>
    <s v="Bangalore"/>
  </r>
  <r>
    <s v="EMP0329"/>
    <n v="37"/>
    <x v="0"/>
    <x v="1"/>
    <x v="6"/>
    <n v="51901"/>
    <n v="51901"/>
    <n v="4"/>
    <n v="4"/>
    <x v="1"/>
    <n v="13"/>
    <x v="0"/>
    <x v="0"/>
    <n v="54"/>
    <s v="Chennai"/>
  </r>
  <r>
    <s v="EMP0330"/>
    <n v="55"/>
    <x v="0"/>
    <x v="0"/>
    <x v="4"/>
    <n v="99048"/>
    <n v="99048"/>
    <n v="5"/>
    <n v="1"/>
    <x v="0"/>
    <n v="11"/>
    <x v="1"/>
    <x v="2"/>
    <n v="43"/>
    <s v="Delhi"/>
  </r>
  <r>
    <s v="EMP0331"/>
    <n v="26"/>
    <x v="1"/>
    <x v="4"/>
    <x v="2"/>
    <n v="69788"/>
    <n v="69788"/>
    <n v="4"/>
    <n v="2"/>
    <x v="0"/>
    <n v="4"/>
    <x v="0"/>
    <x v="1"/>
    <n v="42"/>
    <s v="Bangalore"/>
  </r>
  <r>
    <s v="EMP0332"/>
    <n v="40"/>
    <x v="1"/>
    <x v="3"/>
    <x v="1"/>
    <n v="90754"/>
    <n v="90754"/>
    <n v="1"/>
    <n v="1"/>
    <x v="0"/>
    <n v="18"/>
    <x v="0"/>
    <x v="1"/>
    <n v="75"/>
    <s v="Chennai"/>
  </r>
  <r>
    <s v="EMP0333"/>
    <n v="40"/>
    <x v="0"/>
    <x v="0"/>
    <x v="4"/>
    <n v="113150"/>
    <n v="113150"/>
    <n v="2"/>
    <n v="4"/>
    <x v="0"/>
    <n v="5"/>
    <x v="1"/>
    <x v="0"/>
    <n v="37"/>
    <s v="Bangalore"/>
  </r>
  <r>
    <s v="EMP0334"/>
    <n v="28"/>
    <x v="0"/>
    <x v="0"/>
    <x v="1"/>
    <n v="25128"/>
    <n v="25128"/>
    <n v="4"/>
    <n v="5"/>
    <x v="0"/>
    <n v="9"/>
    <x v="1"/>
    <x v="2"/>
    <n v="17"/>
    <s v="Bangalore"/>
  </r>
  <r>
    <s v="EMP0335"/>
    <n v="58"/>
    <x v="1"/>
    <x v="2"/>
    <x v="0"/>
    <n v="34805"/>
    <n v="34805"/>
    <n v="1"/>
    <n v="3"/>
    <x v="0"/>
    <n v="6"/>
    <x v="0"/>
    <x v="2"/>
    <n v="62"/>
    <s v="Hyderabad"/>
  </r>
  <r>
    <s v="EMP0336"/>
    <n v="40"/>
    <x v="0"/>
    <x v="1"/>
    <x v="1"/>
    <n v="65774"/>
    <n v="65774"/>
    <n v="4"/>
    <n v="2"/>
    <x v="0"/>
    <n v="10"/>
    <x v="1"/>
    <x v="0"/>
    <n v="60"/>
    <s v="Hyderabad"/>
  </r>
  <r>
    <s v="EMP0337"/>
    <n v="44"/>
    <x v="0"/>
    <x v="0"/>
    <x v="4"/>
    <n v="61458"/>
    <n v="61458"/>
    <n v="4"/>
    <n v="4"/>
    <x v="1"/>
    <n v="9"/>
    <x v="0"/>
    <x v="1"/>
    <n v="18"/>
    <s v="Bangalore"/>
  </r>
  <r>
    <s v="EMP0338"/>
    <n v="26"/>
    <x v="1"/>
    <x v="5"/>
    <x v="1"/>
    <n v="43746"/>
    <n v="43746"/>
    <n v="1"/>
    <n v="1"/>
    <x v="0"/>
    <n v="16"/>
    <x v="1"/>
    <x v="1"/>
    <n v="79"/>
    <s v="Mumbai"/>
  </r>
  <r>
    <s v="EMP0339"/>
    <n v="58"/>
    <x v="0"/>
    <x v="3"/>
    <x v="1"/>
    <n v="52159"/>
    <n v="52159"/>
    <n v="5"/>
    <n v="4"/>
    <x v="0"/>
    <n v="11"/>
    <x v="0"/>
    <x v="0"/>
    <n v="80"/>
    <s v="Hyderabad"/>
  </r>
  <r>
    <s v="EMP0340"/>
    <n v="29"/>
    <x v="1"/>
    <x v="1"/>
    <x v="1"/>
    <n v="29869"/>
    <n v="29869"/>
    <n v="3"/>
    <n v="5"/>
    <x v="0"/>
    <n v="7"/>
    <x v="1"/>
    <x v="1"/>
    <n v="22"/>
    <s v="Mumbai"/>
  </r>
  <r>
    <s v="EMP0341"/>
    <n v="31"/>
    <x v="0"/>
    <x v="1"/>
    <x v="1"/>
    <n v="104430"/>
    <n v="104430"/>
    <n v="4"/>
    <n v="3"/>
    <x v="0"/>
    <n v="7"/>
    <x v="0"/>
    <x v="0"/>
    <n v="13"/>
    <s v="Hyderabad"/>
  </r>
  <r>
    <s v="EMP0342"/>
    <n v="44"/>
    <x v="0"/>
    <x v="3"/>
    <x v="4"/>
    <n v="45102"/>
    <n v="45102"/>
    <n v="3"/>
    <n v="4"/>
    <x v="1"/>
    <n v="14"/>
    <x v="1"/>
    <x v="0"/>
    <n v="46"/>
    <s v="Chennai"/>
  </r>
  <r>
    <s v="EMP0343"/>
    <n v="54"/>
    <x v="1"/>
    <x v="0"/>
    <x v="0"/>
    <n v="93842"/>
    <n v="93842"/>
    <n v="5"/>
    <n v="2"/>
    <x v="1"/>
    <n v="20"/>
    <x v="0"/>
    <x v="2"/>
    <n v="80"/>
    <s v="Chennai"/>
  </r>
  <r>
    <s v="EMP0344"/>
    <n v="54"/>
    <x v="1"/>
    <x v="4"/>
    <x v="6"/>
    <n v="85681"/>
    <n v="85681"/>
    <n v="3"/>
    <n v="3"/>
    <x v="1"/>
    <n v="15"/>
    <x v="1"/>
    <x v="1"/>
    <n v="22"/>
    <s v="Mumbai"/>
  </r>
  <r>
    <s v="EMP0345"/>
    <n v="31"/>
    <x v="0"/>
    <x v="3"/>
    <x v="1"/>
    <n v="102341"/>
    <n v="102341"/>
    <n v="2"/>
    <n v="2"/>
    <x v="0"/>
    <n v="5"/>
    <x v="0"/>
    <x v="1"/>
    <n v="20"/>
    <s v="Bangalore"/>
  </r>
  <r>
    <s v="EMP0346"/>
    <n v="47"/>
    <x v="1"/>
    <x v="0"/>
    <x v="3"/>
    <n v="81113"/>
    <n v="81113"/>
    <n v="4"/>
    <n v="2"/>
    <x v="0"/>
    <n v="20"/>
    <x v="0"/>
    <x v="0"/>
    <n v="36"/>
    <s v="Chennai"/>
  </r>
  <r>
    <s v="EMP0347"/>
    <n v="29"/>
    <x v="0"/>
    <x v="5"/>
    <x v="4"/>
    <n v="85193"/>
    <n v="85193"/>
    <n v="5"/>
    <n v="2"/>
    <x v="0"/>
    <n v="5"/>
    <x v="0"/>
    <x v="0"/>
    <n v="71"/>
    <s v="Mumbai"/>
  </r>
  <r>
    <s v="EMP0348"/>
    <n v="57"/>
    <x v="0"/>
    <x v="0"/>
    <x v="4"/>
    <n v="104736"/>
    <n v="104736"/>
    <n v="1"/>
    <n v="2"/>
    <x v="1"/>
    <n v="19"/>
    <x v="0"/>
    <x v="2"/>
    <n v="26"/>
    <s v="Bangalore"/>
  </r>
  <r>
    <s v="EMP0349"/>
    <n v="47"/>
    <x v="0"/>
    <x v="1"/>
    <x v="6"/>
    <n v="99685"/>
    <n v="99685"/>
    <n v="3"/>
    <n v="2"/>
    <x v="1"/>
    <n v="14"/>
    <x v="1"/>
    <x v="0"/>
    <n v="53"/>
    <s v="Mumbai"/>
  </r>
  <r>
    <s v="EMP0350"/>
    <n v="29"/>
    <x v="0"/>
    <x v="3"/>
    <x v="6"/>
    <n v="86512"/>
    <n v="86512"/>
    <n v="4"/>
    <n v="2"/>
    <x v="0"/>
    <n v="5"/>
    <x v="0"/>
    <x v="1"/>
    <n v="9"/>
    <s v="Delhi"/>
  </r>
  <r>
    <s v="EMP0351"/>
    <n v="53"/>
    <x v="0"/>
    <x v="3"/>
    <x v="2"/>
    <n v="104427"/>
    <n v="104427"/>
    <n v="5"/>
    <n v="5"/>
    <x v="0"/>
    <n v="20"/>
    <x v="0"/>
    <x v="1"/>
    <n v="58"/>
    <s v="Hyderabad"/>
  </r>
  <r>
    <s v="EMP0352"/>
    <n v="23"/>
    <x v="1"/>
    <x v="5"/>
    <x v="2"/>
    <n v="118751"/>
    <n v="118751"/>
    <n v="3"/>
    <n v="5"/>
    <x v="0"/>
    <n v="13"/>
    <x v="1"/>
    <x v="2"/>
    <n v="66"/>
    <s v="Bangalore"/>
  </r>
  <r>
    <s v="EMP0353"/>
    <n v="26"/>
    <x v="1"/>
    <x v="1"/>
    <x v="1"/>
    <n v="71562"/>
    <n v="71562"/>
    <n v="2"/>
    <n v="1"/>
    <x v="0"/>
    <n v="18"/>
    <x v="1"/>
    <x v="1"/>
    <n v="5"/>
    <s v="Mumbai"/>
  </r>
  <r>
    <s v="EMP0354"/>
    <n v="34"/>
    <x v="1"/>
    <x v="4"/>
    <x v="0"/>
    <n v="31970"/>
    <n v="31970"/>
    <n v="4"/>
    <n v="5"/>
    <x v="1"/>
    <n v="8"/>
    <x v="0"/>
    <x v="1"/>
    <n v="51"/>
    <s v="Delhi"/>
  </r>
  <r>
    <s v="EMP0355"/>
    <n v="38"/>
    <x v="1"/>
    <x v="5"/>
    <x v="2"/>
    <n v="90365"/>
    <n v="90365"/>
    <n v="4"/>
    <n v="2"/>
    <x v="1"/>
    <n v="17"/>
    <x v="0"/>
    <x v="2"/>
    <n v="44"/>
    <s v="Delhi"/>
  </r>
  <r>
    <s v="EMP0356"/>
    <n v="43"/>
    <x v="1"/>
    <x v="0"/>
    <x v="6"/>
    <n v="104413"/>
    <n v="104413"/>
    <n v="2"/>
    <n v="4"/>
    <x v="0"/>
    <n v="3"/>
    <x v="1"/>
    <x v="1"/>
    <n v="56"/>
    <s v="Hyderabad"/>
  </r>
  <r>
    <s v="EMP0357"/>
    <n v="56"/>
    <x v="0"/>
    <x v="5"/>
    <x v="2"/>
    <n v="101345"/>
    <n v="101345"/>
    <n v="3"/>
    <n v="2"/>
    <x v="1"/>
    <n v="19"/>
    <x v="0"/>
    <x v="0"/>
    <n v="13"/>
    <s v="Hyderabad"/>
  </r>
  <r>
    <s v="EMP0358"/>
    <n v="35"/>
    <x v="1"/>
    <x v="3"/>
    <x v="1"/>
    <n v="22948"/>
    <n v="22948"/>
    <n v="4"/>
    <n v="5"/>
    <x v="1"/>
    <n v="19"/>
    <x v="1"/>
    <x v="0"/>
    <n v="68"/>
    <s v="Mumbai"/>
  </r>
  <r>
    <s v="EMP0359"/>
    <n v="21"/>
    <x v="0"/>
    <x v="0"/>
    <x v="1"/>
    <n v="55487"/>
    <n v="55487"/>
    <n v="1"/>
    <n v="5"/>
    <x v="0"/>
    <n v="19"/>
    <x v="1"/>
    <x v="1"/>
    <n v="9"/>
    <s v="Hyderabad"/>
  </r>
  <r>
    <s v="EMP0360"/>
    <n v="36"/>
    <x v="0"/>
    <x v="5"/>
    <x v="3"/>
    <n v="54167"/>
    <n v="54167"/>
    <n v="3"/>
    <n v="4"/>
    <x v="1"/>
    <n v="18"/>
    <x v="1"/>
    <x v="1"/>
    <n v="6"/>
    <s v="Chennai"/>
  </r>
  <r>
    <s v="EMP0361"/>
    <n v="26"/>
    <x v="1"/>
    <x v="0"/>
    <x v="1"/>
    <n v="94406"/>
    <n v="94406"/>
    <n v="3"/>
    <n v="3"/>
    <x v="0"/>
    <n v="19"/>
    <x v="1"/>
    <x v="2"/>
    <n v="56"/>
    <s v="Delhi"/>
  </r>
  <r>
    <s v="EMP0362"/>
    <n v="21"/>
    <x v="1"/>
    <x v="5"/>
    <x v="2"/>
    <n v="84353"/>
    <n v="84353"/>
    <n v="5"/>
    <n v="1"/>
    <x v="1"/>
    <n v="10"/>
    <x v="1"/>
    <x v="1"/>
    <n v="37"/>
    <s v="Delhi"/>
  </r>
  <r>
    <s v="EMP0363"/>
    <n v="57"/>
    <x v="1"/>
    <x v="0"/>
    <x v="2"/>
    <n v="67424"/>
    <n v="67424"/>
    <n v="4"/>
    <n v="2"/>
    <x v="1"/>
    <n v="14"/>
    <x v="0"/>
    <x v="1"/>
    <n v="8"/>
    <s v="Mumbai"/>
  </r>
  <r>
    <s v="EMP0364"/>
    <n v="28"/>
    <x v="1"/>
    <x v="3"/>
    <x v="2"/>
    <n v="101055"/>
    <n v="101055"/>
    <n v="2"/>
    <n v="3"/>
    <x v="1"/>
    <n v="11"/>
    <x v="1"/>
    <x v="1"/>
    <n v="38"/>
    <s v="Bangalore"/>
  </r>
  <r>
    <s v="EMP0365"/>
    <n v="39"/>
    <x v="0"/>
    <x v="4"/>
    <x v="4"/>
    <n v="116145"/>
    <n v="116145"/>
    <n v="1"/>
    <n v="5"/>
    <x v="0"/>
    <n v="15"/>
    <x v="0"/>
    <x v="2"/>
    <n v="32"/>
    <s v="Delhi"/>
  </r>
  <r>
    <s v="EMP0366"/>
    <n v="38"/>
    <x v="0"/>
    <x v="0"/>
    <x v="4"/>
    <n v="42925"/>
    <n v="42925"/>
    <n v="2"/>
    <n v="2"/>
    <x v="0"/>
    <n v="8"/>
    <x v="1"/>
    <x v="0"/>
    <n v="30"/>
    <s v="Bangalore"/>
  </r>
  <r>
    <s v="EMP0367"/>
    <n v="43"/>
    <x v="0"/>
    <x v="3"/>
    <x v="3"/>
    <n v="28287"/>
    <n v="28287"/>
    <n v="5"/>
    <n v="1"/>
    <x v="0"/>
    <n v="15"/>
    <x v="0"/>
    <x v="1"/>
    <n v="45"/>
    <s v="Mumbai"/>
  </r>
  <r>
    <s v="EMP0368"/>
    <n v="57"/>
    <x v="1"/>
    <x v="4"/>
    <x v="6"/>
    <n v="118173"/>
    <n v="118173"/>
    <n v="3"/>
    <n v="4"/>
    <x v="0"/>
    <n v="18"/>
    <x v="1"/>
    <x v="0"/>
    <n v="72"/>
    <s v="Mumbai"/>
  </r>
  <r>
    <s v="EMP0369"/>
    <n v="51"/>
    <x v="0"/>
    <x v="1"/>
    <x v="0"/>
    <n v="68925"/>
    <n v="68925"/>
    <n v="4"/>
    <n v="1"/>
    <x v="1"/>
    <n v="10"/>
    <x v="1"/>
    <x v="0"/>
    <n v="31"/>
    <s v="Mumbai"/>
  </r>
  <r>
    <s v="EMP0370"/>
    <n v="58"/>
    <x v="0"/>
    <x v="2"/>
    <x v="0"/>
    <n v="98318"/>
    <n v="98318"/>
    <n v="2"/>
    <n v="5"/>
    <x v="1"/>
    <n v="7"/>
    <x v="0"/>
    <x v="2"/>
    <n v="48"/>
    <s v="Hyderabad"/>
  </r>
  <r>
    <s v="EMP0371"/>
    <n v="32"/>
    <x v="1"/>
    <x v="4"/>
    <x v="6"/>
    <n v="72931"/>
    <n v="72931"/>
    <n v="3"/>
    <n v="4"/>
    <x v="1"/>
    <n v="14"/>
    <x v="1"/>
    <x v="1"/>
    <n v="21"/>
    <s v="Delhi"/>
  </r>
  <r>
    <s v="EMP0372"/>
    <n v="35"/>
    <x v="0"/>
    <x v="0"/>
    <x v="0"/>
    <n v="48907"/>
    <n v="48907"/>
    <n v="4"/>
    <n v="4"/>
    <x v="0"/>
    <n v="4"/>
    <x v="1"/>
    <x v="2"/>
    <n v="6"/>
    <s v="Bangalore"/>
  </r>
  <r>
    <s v="EMP0373"/>
    <n v="47"/>
    <x v="1"/>
    <x v="5"/>
    <x v="4"/>
    <n v="85765"/>
    <n v="85765"/>
    <n v="3"/>
    <n v="4"/>
    <x v="1"/>
    <n v="8"/>
    <x v="1"/>
    <x v="2"/>
    <n v="17"/>
    <s v="Bangalore"/>
  </r>
  <r>
    <s v="EMP0374"/>
    <n v="24"/>
    <x v="0"/>
    <x v="2"/>
    <x v="2"/>
    <n v="100557"/>
    <n v="100557"/>
    <n v="4"/>
    <n v="3"/>
    <x v="1"/>
    <n v="11"/>
    <x v="0"/>
    <x v="1"/>
    <n v="76"/>
    <s v="Hyderabad"/>
  </r>
  <r>
    <s v="EMP0375"/>
    <n v="43"/>
    <x v="0"/>
    <x v="4"/>
    <x v="3"/>
    <n v="64018"/>
    <n v="64018"/>
    <n v="2"/>
    <n v="5"/>
    <x v="0"/>
    <n v="9"/>
    <x v="0"/>
    <x v="2"/>
    <n v="70"/>
    <s v="Mumbai"/>
  </r>
  <r>
    <s v="EMP0376"/>
    <n v="49"/>
    <x v="0"/>
    <x v="4"/>
    <x v="1"/>
    <n v="55555"/>
    <n v="55555"/>
    <n v="3"/>
    <n v="2"/>
    <x v="1"/>
    <n v="13"/>
    <x v="0"/>
    <x v="0"/>
    <n v="15"/>
    <s v="Bangalore"/>
  </r>
  <r>
    <s v="EMP0377"/>
    <n v="42"/>
    <x v="0"/>
    <x v="2"/>
    <x v="0"/>
    <n v="103591"/>
    <n v="103591"/>
    <n v="3"/>
    <n v="3"/>
    <x v="1"/>
    <n v="8"/>
    <x v="0"/>
    <x v="2"/>
    <n v="80"/>
    <s v="Delhi"/>
  </r>
  <r>
    <s v="EMP0378"/>
    <n v="49"/>
    <x v="1"/>
    <x v="5"/>
    <x v="6"/>
    <n v="21027"/>
    <n v="21027"/>
    <n v="2"/>
    <n v="3"/>
    <x v="0"/>
    <n v="6"/>
    <x v="1"/>
    <x v="2"/>
    <n v="18"/>
    <s v="Chennai"/>
  </r>
  <r>
    <s v="EMP0379"/>
    <n v="25"/>
    <x v="1"/>
    <x v="1"/>
    <x v="3"/>
    <n v="21455"/>
    <n v="21455"/>
    <n v="5"/>
    <n v="1"/>
    <x v="0"/>
    <n v="8"/>
    <x v="1"/>
    <x v="0"/>
    <n v="54"/>
    <s v="Hyderabad"/>
  </r>
  <r>
    <s v="EMP0380"/>
    <n v="35"/>
    <x v="0"/>
    <x v="0"/>
    <x v="0"/>
    <n v="76085"/>
    <n v="76085"/>
    <n v="2"/>
    <n v="5"/>
    <x v="0"/>
    <n v="0"/>
    <x v="1"/>
    <x v="1"/>
    <n v="50"/>
    <s v="Hyderabad"/>
  </r>
  <r>
    <s v="EMP0381"/>
    <n v="51"/>
    <x v="1"/>
    <x v="1"/>
    <x v="0"/>
    <n v="89898"/>
    <n v="89898"/>
    <n v="2"/>
    <n v="5"/>
    <x v="0"/>
    <n v="18"/>
    <x v="0"/>
    <x v="1"/>
    <n v="77"/>
    <s v="Mumbai"/>
  </r>
  <r>
    <s v="EMP0382"/>
    <n v="54"/>
    <x v="1"/>
    <x v="2"/>
    <x v="2"/>
    <n v="88735"/>
    <n v="88735"/>
    <n v="1"/>
    <n v="4"/>
    <x v="1"/>
    <n v="11"/>
    <x v="0"/>
    <x v="2"/>
    <n v="24"/>
    <s v="Hyderabad"/>
  </r>
  <r>
    <s v="EMP0383"/>
    <n v="21"/>
    <x v="0"/>
    <x v="1"/>
    <x v="6"/>
    <n v="63073"/>
    <n v="63073"/>
    <n v="4"/>
    <n v="5"/>
    <x v="0"/>
    <n v="15"/>
    <x v="0"/>
    <x v="2"/>
    <n v="6"/>
    <s v="Mumbai"/>
  </r>
  <r>
    <s v="EMP0384"/>
    <n v="39"/>
    <x v="0"/>
    <x v="3"/>
    <x v="1"/>
    <n v="66974"/>
    <n v="66974"/>
    <n v="4"/>
    <n v="5"/>
    <x v="1"/>
    <n v="12"/>
    <x v="1"/>
    <x v="0"/>
    <n v="54"/>
    <s v="Mumbai"/>
  </r>
  <r>
    <s v="EMP0385"/>
    <n v="35"/>
    <x v="1"/>
    <x v="3"/>
    <x v="2"/>
    <n v="99962"/>
    <n v="99962"/>
    <n v="5"/>
    <n v="5"/>
    <x v="1"/>
    <n v="9"/>
    <x v="0"/>
    <x v="2"/>
    <n v="29"/>
    <s v="Chennai"/>
  </r>
  <r>
    <s v="EMP0386"/>
    <n v="32"/>
    <x v="0"/>
    <x v="2"/>
    <x v="3"/>
    <n v="101478"/>
    <n v="101478"/>
    <n v="5"/>
    <n v="4"/>
    <x v="1"/>
    <n v="19"/>
    <x v="0"/>
    <x v="0"/>
    <n v="46"/>
    <s v="Chennai"/>
  </r>
  <r>
    <s v="EMP0387"/>
    <n v="30"/>
    <x v="0"/>
    <x v="1"/>
    <x v="3"/>
    <n v="42371"/>
    <n v="42371"/>
    <n v="3"/>
    <n v="3"/>
    <x v="0"/>
    <n v="14"/>
    <x v="1"/>
    <x v="0"/>
    <n v="16"/>
    <s v="Bangalore"/>
  </r>
  <r>
    <s v="EMP0388"/>
    <n v="21"/>
    <x v="1"/>
    <x v="5"/>
    <x v="0"/>
    <n v="73082"/>
    <n v="73082"/>
    <n v="4"/>
    <n v="3"/>
    <x v="1"/>
    <n v="1"/>
    <x v="0"/>
    <x v="0"/>
    <n v="23"/>
    <s v="Chennai"/>
  </r>
  <r>
    <s v="EMP0389"/>
    <n v="38"/>
    <x v="1"/>
    <x v="3"/>
    <x v="1"/>
    <n v="79623"/>
    <n v="79623"/>
    <n v="2"/>
    <n v="3"/>
    <x v="1"/>
    <n v="0"/>
    <x v="1"/>
    <x v="1"/>
    <n v="36"/>
    <s v="Mumbai"/>
  </r>
  <r>
    <s v="EMP0390"/>
    <n v="49"/>
    <x v="0"/>
    <x v="0"/>
    <x v="3"/>
    <n v="44106"/>
    <n v="44106"/>
    <n v="1"/>
    <n v="5"/>
    <x v="0"/>
    <n v="15"/>
    <x v="0"/>
    <x v="1"/>
    <n v="44"/>
    <s v="Hyderabad"/>
  </r>
  <r>
    <s v="EMP0391"/>
    <n v="31"/>
    <x v="0"/>
    <x v="0"/>
    <x v="1"/>
    <n v="86278"/>
    <n v="86278"/>
    <n v="3"/>
    <n v="4"/>
    <x v="1"/>
    <n v="6"/>
    <x v="0"/>
    <x v="0"/>
    <n v="32"/>
    <s v="Chennai"/>
  </r>
  <r>
    <s v="EMP0392"/>
    <n v="36"/>
    <x v="1"/>
    <x v="2"/>
    <x v="3"/>
    <n v="39936"/>
    <n v="39936"/>
    <n v="5"/>
    <n v="1"/>
    <x v="1"/>
    <n v="7"/>
    <x v="1"/>
    <x v="0"/>
    <n v="79"/>
    <s v="Mumbai"/>
  </r>
  <r>
    <s v="EMP0393"/>
    <n v="30"/>
    <x v="1"/>
    <x v="3"/>
    <x v="6"/>
    <n v="38669"/>
    <n v="38669"/>
    <n v="1"/>
    <n v="5"/>
    <x v="1"/>
    <n v="20"/>
    <x v="1"/>
    <x v="0"/>
    <n v="50"/>
    <s v="Bangalore"/>
  </r>
  <r>
    <s v="EMP0394"/>
    <n v="55"/>
    <x v="0"/>
    <x v="5"/>
    <x v="2"/>
    <n v="48497"/>
    <n v="48497"/>
    <n v="3"/>
    <n v="3"/>
    <x v="1"/>
    <n v="6"/>
    <x v="1"/>
    <x v="1"/>
    <n v="53"/>
    <s v="Hyderabad"/>
  </r>
  <r>
    <s v="EMP0395"/>
    <n v="29"/>
    <x v="1"/>
    <x v="3"/>
    <x v="2"/>
    <n v="110618"/>
    <n v="110618"/>
    <n v="5"/>
    <n v="3"/>
    <x v="1"/>
    <n v="6"/>
    <x v="1"/>
    <x v="1"/>
    <n v="49"/>
    <s v="Hyderabad"/>
  </r>
  <r>
    <s v="EMP0396"/>
    <n v="50"/>
    <x v="1"/>
    <x v="1"/>
    <x v="1"/>
    <n v="39016"/>
    <n v="39016"/>
    <n v="5"/>
    <n v="2"/>
    <x v="1"/>
    <n v="9"/>
    <x v="0"/>
    <x v="1"/>
    <n v="51"/>
    <s v="Mumbai"/>
  </r>
  <r>
    <s v="EMP0397"/>
    <n v="21"/>
    <x v="1"/>
    <x v="0"/>
    <x v="6"/>
    <n v="20453"/>
    <n v="20453"/>
    <n v="3"/>
    <n v="5"/>
    <x v="0"/>
    <n v="10"/>
    <x v="1"/>
    <x v="1"/>
    <n v="73"/>
    <s v="Mumbai"/>
  </r>
  <r>
    <s v="EMP0398"/>
    <n v="33"/>
    <x v="1"/>
    <x v="1"/>
    <x v="6"/>
    <n v="98352"/>
    <n v="98352"/>
    <n v="3"/>
    <n v="4"/>
    <x v="1"/>
    <n v="3"/>
    <x v="1"/>
    <x v="1"/>
    <n v="13"/>
    <s v="Chennai"/>
  </r>
  <r>
    <s v="EMP0399"/>
    <n v="29"/>
    <x v="0"/>
    <x v="3"/>
    <x v="6"/>
    <n v="32031"/>
    <n v="32031"/>
    <n v="2"/>
    <n v="1"/>
    <x v="0"/>
    <n v="18"/>
    <x v="0"/>
    <x v="1"/>
    <n v="67"/>
    <s v="Delhi"/>
  </r>
  <r>
    <s v="EMP0400"/>
    <n v="58"/>
    <x v="1"/>
    <x v="3"/>
    <x v="0"/>
    <n v="46930"/>
    <n v="46930"/>
    <n v="1"/>
    <n v="1"/>
    <x v="0"/>
    <n v="20"/>
    <x v="0"/>
    <x v="0"/>
    <n v="64"/>
    <s v="Chennai"/>
  </r>
  <r>
    <s v="EMP0401"/>
    <n v="44"/>
    <x v="1"/>
    <x v="2"/>
    <x v="4"/>
    <n v="25641"/>
    <n v="25641"/>
    <n v="3"/>
    <n v="5"/>
    <x v="0"/>
    <n v="2"/>
    <x v="0"/>
    <x v="0"/>
    <n v="32"/>
    <s v="Delhi"/>
  </r>
  <r>
    <s v="EMP0402"/>
    <n v="27"/>
    <x v="0"/>
    <x v="0"/>
    <x v="6"/>
    <n v="87685"/>
    <n v="87685"/>
    <n v="2"/>
    <n v="2"/>
    <x v="0"/>
    <n v="18"/>
    <x v="1"/>
    <x v="1"/>
    <n v="76"/>
    <s v="Mumbai"/>
  </r>
  <r>
    <s v="EMP0403"/>
    <n v="27"/>
    <x v="1"/>
    <x v="0"/>
    <x v="2"/>
    <n v="110084"/>
    <n v="110084"/>
    <n v="1"/>
    <n v="2"/>
    <x v="0"/>
    <n v="17"/>
    <x v="0"/>
    <x v="1"/>
    <n v="48"/>
    <s v="Bangalore"/>
  </r>
  <r>
    <s v="EMP0404"/>
    <n v="55"/>
    <x v="1"/>
    <x v="2"/>
    <x v="0"/>
    <n v="90100"/>
    <n v="90100"/>
    <n v="3"/>
    <n v="4"/>
    <x v="1"/>
    <n v="10"/>
    <x v="1"/>
    <x v="1"/>
    <n v="74"/>
    <s v="Bangalore"/>
  </r>
  <r>
    <s v="EMP0405"/>
    <n v="39"/>
    <x v="1"/>
    <x v="2"/>
    <x v="2"/>
    <n v="76654"/>
    <n v="76654"/>
    <n v="1"/>
    <n v="1"/>
    <x v="1"/>
    <n v="19"/>
    <x v="1"/>
    <x v="1"/>
    <n v="22"/>
    <s v="Hyderabad"/>
  </r>
  <r>
    <s v="EMP0406"/>
    <n v="21"/>
    <x v="1"/>
    <x v="5"/>
    <x v="6"/>
    <n v="59275"/>
    <n v="59275"/>
    <n v="3"/>
    <n v="5"/>
    <x v="0"/>
    <n v="3"/>
    <x v="1"/>
    <x v="2"/>
    <n v="50"/>
    <s v="Bangalore"/>
  </r>
  <r>
    <s v="EMP0407"/>
    <n v="39"/>
    <x v="1"/>
    <x v="2"/>
    <x v="1"/>
    <n v="50749"/>
    <n v="50749"/>
    <n v="3"/>
    <n v="3"/>
    <x v="0"/>
    <n v="18"/>
    <x v="0"/>
    <x v="1"/>
    <n v="32"/>
    <s v="Chennai"/>
  </r>
  <r>
    <s v="EMP0408"/>
    <n v="41"/>
    <x v="1"/>
    <x v="5"/>
    <x v="2"/>
    <n v="108386"/>
    <n v="108386"/>
    <n v="1"/>
    <n v="5"/>
    <x v="1"/>
    <n v="1"/>
    <x v="0"/>
    <x v="0"/>
    <n v="12"/>
    <s v="Hyderabad"/>
  </r>
  <r>
    <s v="EMP0409"/>
    <n v="43"/>
    <x v="1"/>
    <x v="4"/>
    <x v="3"/>
    <n v="118976"/>
    <n v="118976"/>
    <n v="3"/>
    <n v="1"/>
    <x v="1"/>
    <n v="1"/>
    <x v="0"/>
    <x v="1"/>
    <n v="10"/>
    <s v="Hyderabad"/>
  </r>
  <r>
    <s v="EMP0410"/>
    <n v="55"/>
    <x v="0"/>
    <x v="2"/>
    <x v="1"/>
    <n v="109457"/>
    <n v="109457"/>
    <n v="2"/>
    <n v="1"/>
    <x v="1"/>
    <n v="14"/>
    <x v="1"/>
    <x v="0"/>
    <n v="60"/>
    <s v="Hyderabad"/>
  </r>
  <r>
    <s v="EMP0411"/>
    <n v="46"/>
    <x v="0"/>
    <x v="5"/>
    <x v="0"/>
    <n v="28819"/>
    <n v="28819"/>
    <n v="5"/>
    <n v="1"/>
    <x v="1"/>
    <n v="8"/>
    <x v="1"/>
    <x v="2"/>
    <n v="69"/>
    <s v="Mumbai"/>
  </r>
  <r>
    <s v="EMP0412"/>
    <n v="29"/>
    <x v="0"/>
    <x v="4"/>
    <x v="1"/>
    <n v="43966"/>
    <n v="43966"/>
    <n v="4"/>
    <n v="5"/>
    <x v="0"/>
    <n v="17"/>
    <x v="1"/>
    <x v="0"/>
    <n v="14"/>
    <s v="Hyderabad"/>
  </r>
  <r>
    <s v="EMP0413"/>
    <n v="48"/>
    <x v="1"/>
    <x v="0"/>
    <x v="1"/>
    <n v="29743"/>
    <n v="29743"/>
    <n v="4"/>
    <n v="4"/>
    <x v="1"/>
    <n v="11"/>
    <x v="1"/>
    <x v="2"/>
    <n v="49"/>
    <s v="Delhi"/>
  </r>
  <r>
    <s v="EMP0414"/>
    <n v="22"/>
    <x v="1"/>
    <x v="5"/>
    <x v="0"/>
    <n v="98769"/>
    <n v="98769"/>
    <n v="5"/>
    <n v="2"/>
    <x v="1"/>
    <n v="1"/>
    <x v="1"/>
    <x v="0"/>
    <n v="52"/>
    <s v="Bangalore"/>
  </r>
  <r>
    <s v="EMP0415"/>
    <n v="26"/>
    <x v="0"/>
    <x v="0"/>
    <x v="3"/>
    <n v="49856"/>
    <n v="49856"/>
    <n v="3"/>
    <n v="3"/>
    <x v="0"/>
    <n v="10"/>
    <x v="1"/>
    <x v="2"/>
    <n v="62"/>
    <s v="Mumbai"/>
  </r>
  <r>
    <s v="EMP0416"/>
    <n v="22"/>
    <x v="1"/>
    <x v="5"/>
    <x v="4"/>
    <n v="88517"/>
    <n v="88517"/>
    <n v="2"/>
    <n v="5"/>
    <x v="1"/>
    <n v="17"/>
    <x v="0"/>
    <x v="1"/>
    <n v="23"/>
    <s v="Chennai"/>
  </r>
  <r>
    <s v="EMP0417"/>
    <n v="45"/>
    <x v="0"/>
    <x v="2"/>
    <x v="6"/>
    <n v="25878"/>
    <n v="25878"/>
    <n v="2"/>
    <n v="5"/>
    <x v="1"/>
    <n v="1"/>
    <x v="0"/>
    <x v="1"/>
    <n v="6"/>
    <s v="Chennai"/>
  </r>
  <r>
    <s v="EMP0418"/>
    <n v="45"/>
    <x v="1"/>
    <x v="0"/>
    <x v="4"/>
    <n v="65214"/>
    <n v="65214"/>
    <n v="1"/>
    <n v="3"/>
    <x v="1"/>
    <n v="7"/>
    <x v="0"/>
    <x v="1"/>
    <n v="17"/>
    <s v="Hyderabad"/>
  </r>
  <r>
    <s v="EMP0419"/>
    <n v="52"/>
    <x v="0"/>
    <x v="5"/>
    <x v="6"/>
    <n v="83621"/>
    <n v="83621"/>
    <n v="5"/>
    <n v="1"/>
    <x v="0"/>
    <n v="7"/>
    <x v="0"/>
    <x v="2"/>
    <n v="67"/>
    <s v="Mumbai"/>
  </r>
  <r>
    <s v="EMP0420"/>
    <n v="31"/>
    <x v="0"/>
    <x v="2"/>
    <x v="4"/>
    <n v="64125"/>
    <n v="64125"/>
    <n v="3"/>
    <n v="2"/>
    <x v="1"/>
    <n v="1"/>
    <x v="0"/>
    <x v="2"/>
    <n v="8"/>
    <s v="Delhi"/>
  </r>
  <r>
    <s v="EMP0421"/>
    <n v="38"/>
    <x v="0"/>
    <x v="5"/>
    <x v="0"/>
    <n v="69491"/>
    <n v="69491"/>
    <n v="3"/>
    <n v="4"/>
    <x v="0"/>
    <n v="13"/>
    <x v="1"/>
    <x v="1"/>
    <n v="24"/>
    <s v="Mumbai"/>
  </r>
  <r>
    <s v="EMP0422"/>
    <n v="40"/>
    <x v="1"/>
    <x v="4"/>
    <x v="1"/>
    <n v="35271"/>
    <n v="35271"/>
    <n v="2"/>
    <n v="5"/>
    <x v="0"/>
    <n v="4"/>
    <x v="0"/>
    <x v="1"/>
    <n v="72"/>
    <s v="Bangalore"/>
  </r>
  <r>
    <s v="EMP0423"/>
    <n v="48"/>
    <x v="0"/>
    <x v="0"/>
    <x v="1"/>
    <n v="38715"/>
    <n v="38715"/>
    <n v="1"/>
    <n v="5"/>
    <x v="0"/>
    <n v="5"/>
    <x v="0"/>
    <x v="0"/>
    <n v="8"/>
    <s v="Hyderabad"/>
  </r>
  <r>
    <s v="EMP0424"/>
    <n v="47"/>
    <x v="1"/>
    <x v="2"/>
    <x v="2"/>
    <n v="115728"/>
    <n v="115728"/>
    <n v="2"/>
    <n v="2"/>
    <x v="0"/>
    <n v="4"/>
    <x v="1"/>
    <x v="0"/>
    <n v="39"/>
    <s v="Delhi"/>
  </r>
  <r>
    <s v="EMP0425"/>
    <n v="57"/>
    <x v="0"/>
    <x v="1"/>
    <x v="6"/>
    <n v="48266"/>
    <n v="48266"/>
    <n v="3"/>
    <n v="1"/>
    <x v="1"/>
    <n v="4"/>
    <x v="0"/>
    <x v="1"/>
    <n v="52"/>
    <s v="Bangalore"/>
  </r>
  <r>
    <s v="EMP0426"/>
    <n v="45"/>
    <x v="1"/>
    <x v="4"/>
    <x v="6"/>
    <n v="39467"/>
    <n v="39467"/>
    <n v="2"/>
    <n v="1"/>
    <x v="1"/>
    <n v="0"/>
    <x v="0"/>
    <x v="2"/>
    <n v="33"/>
    <s v="Bangalore"/>
  </r>
  <r>
    <s v="EMP0427"/>
    <n v="34"/>
    <x v="0"/>
    <x v="5"/>
    <x v="2"/>
    <n v="98879"/>
    <n v="98879"/>
    <n v="3"/>
    <n v="4"/>
    <x v="0"/>
    <n v="13"/>
    <x v="0"/>
    <x v="0"/>
    <n v="53"/>
    <s v="Hyderabad"/>
  </r>
  <r>
    <s v="EMP0428"/>
    <n v="46"/>
    <x v="0"/>
    <x v="1"/>
    <x v="3"/>
    <n v="77193"/>
    <n v="77193"/>
    <n v="1"/>
    <n v="2"/>
    <x v="1"/>
    <n v="1"/>
    <x v="0"/>
    <x v="1"/>
    <n v="11"/>
    <s v="Bangalore"/>
  </r>
  <r>
    <s v="EMP0429"/>
    <n v="39"/>
    <x v="1"/>
    <x v="4"/>
    <x v="0"/>
    <n v="119407"/>
    <n v="119407"/>
    <n v="4"/>
    <n v="3"/>
    <x v="1"/>
    <n v="9"/>
    <x v="1"/>
    <x v="1"/>
    <n v="71"/>
    <s v="Bangalore"/>
  </r>
  <r>
    <s v="EMP0430"/>
    <n v="50"/>
    <x v="1"/>
    <x v="3"/>
    <x v="4"/>
    <n v="83622"/>
    <n v="83622"/>
    <n v="2"/>
    <n v="5"/>
    <x v="0"/>
    <n v="12"/>
    <x v="0"/>
    <x v="2"/>
    <n v="62"/>
    <s v="Chennai"/>
  </r>
  <r>
    <s v="EMP0431"/>
    <n v="32"/>
    <x v="1"/>
    <x v="1"/>
    <x v="4"/>
    <n v="44467"/>
    <n v="44467"/>
    <n v="1"/>
    <n v="3"/>
    <x v="1"/>
    <n v="20"/>
    <x v="1"/>
    <x v="1"/>
    <n v="20"/>
    <s v="Chennai"/>
  </r>
  <r>
    <s v="EMP0432"/>
    <n v="28"/>
    <x v="1"/>
    <x v="0"/>
    <x v="0"/>
    <n v="29181"/>
    <n v="29181"/>
    <n v="4"/>
    <n v="5"/>
    <x v="0"/>
    <n v="12"/>
    <x v="0"/>
    <x v="0"/>
    <n v="26"/>
    <s v="Hyderabad"/>
  </r>
  <r>
    <s v="EMP0433"/>
    <n v="57"/>
    <x v="0"/>
    <x v="5"/>
    <x v="6"/>
    <n v="41444"/>
    <n v="41444"/>
    <n v="4"/>
    <n v="3"/>
    <x v="1"/>
    <n v="14"/>
    <x v="0"/>
    <x v="1"/>
    <n v="28"/>
    <s v="Chennai"/>
  </r>
  <r>
    <s v="EMP0434"/>
    <n v="29"/>
    <x v="0"/>
    <x v="3"/>
    <x v="1"/>
    <n v="118321"/>
    <n v="118321"/>
    <n v="1"/>
    <n v="4"/>
    <x v="1"/>
    <n v="15"/>
    <x v="1"/>
    <x v="1"/>
    <n v="68"/>
    <s v="Bangalore"/>
  </r>
  <r>
    <s v="EMP0435"/>
    <n v="34"/>
    <x v="1"/>
    <x v="4"/>
    <x v="2"/>
    <n v="75917"/>
    <n v="75917"/>
    <n v="5"/>
    <n v="5"/>
    <x v="0"/>
    <n v="7"/>
    <x v="0"/>
    <x v="1"/>
    <n v="76"/>
    <s v="Bangalore"/>
  </r>
  <r>
    <s v="EMP0436"/>
    <n v="24"/>
    <x v="0"/>
    <x v="5"/>
    <x v="3"/>
    <n v="103626"/>
    <n v="103626"/>
    <n v="1"/>
    <n v="2"/>
    <x v="0"/>
    <n v="18"/>
    <x v="0"/>
    <x v="2"/>
    <n v="16"/>
    <s v="Chennai"/>
  </r>
  <r>
    <s v="EMP0437"/>
    <n v="27"/>
    <x v="1"/>
    <x v="5"/>
    <x v="6"/>
    <n v="106092"/>
    <n v="106092"/>
    <n v="5"/>
    <n v="5"/>
    <x v="0"/>
    <n v="14"/>
    <x v="0"/>
    <x v="0"/>
    <n v="16"/>
    <s v="Hyderabad"/>
  </r>
  <r>
    <s v="EMP0438"/>
    <n v="39"/>
    <x v="1"/>
    <x v="4"/>
    <x v="3"/>
    <n v="117410"/>
    <n v="117410"/>
    <n v="5"/>
    <n v="1"/>
    <x v="1"/>
    <n v="15"/>
    <x v="1"/>
    <x v="0"/>
    <n v="40"/>
    <s v="Hyderabad"/>
  </r>
  <r>
    <s v="EMP0439"/>
    <n v="39"/>
    <x v="1"/>
    <x v="1"/>
    <x v="6"/>
    <n v="109203"/>
    <n v="109203"/>
    <n v="5"/>
    <n v="1"/>
    <x v="0"/>
    <n v="18"/>
    <x v="1"/>
    <x v="2"/>
    <n v="41"/>
    <s v="Mumbai"/>
  </r>
  <r>
    <s v="EMP0440"/>
    <n v="41"/>
    <x v="1"/>
    <x v="1"/>
    <x v="1"/>
    <n v="99689"/>
    <n v="99689"/>
    <n v="2"/>
    <n v="5"/>
    <x v="1"/>
    <n v="16"/>
    <x v="0"/>
    <x v="2"/>
    <n v="28"/>
    <s v="Delhi"/>
  </r>
  <r>
    <s v="EMP0441"/>
    <n v="35"/>
    <x v="1"/>
    <x v="5"/>
    <x v="3"/>
    <n v="33493"/>
    <n v="33493"/>
    <n v="4"/>
    <n v="1"/>
    <x v="0"/>
    <n v="19"/>
    <x v="0"/>
    <x v="2"/>
    <n v="10"/>
    <s v="Hyderabad"/>
  </r>
  <r>
    <s v="EMP0442"/>
    <n v="39"/>
    <x v="0"/>
    <x v="3"/>
    <x v="4"/>
    <n v="44370"/>
    <n v="44370"/>
    <n v="3"/>
    <n v="1"/>
    <x v="1"/>
    <n v="9"/>
    <x v="0"/>
    <x v="0"/>
    <n v="19"/>
    <s v="Hyderabad"/>
  </r>
  <r>
    <s v="EMP0443"/>
    <n v="42"/>
    <x v="1"/>
    <x v="0"/>
    <x v="1"/>
    <n v="98739"/>
    <n v="98739"/>
    <n v="2"/>
    <n v="2"/>
    <x v="1"/>
    <n v="10"/>
    <x v="0"/>
    <x v="2"/>
    <n v="9"/>
    <s v="Bangalore"/>
  </r>
  <r>
    <s v="EMP0444"/>
    <n v="51"/>
    <x v="0"/>
    <x v="0"/>
    <x v="2"/>
    <n v="88381"/>
    <n v="88381"/>
    <n v="4"/>
    <n v="4"/>
    <x v="0"/>
    <n v="16"/>
    <x v="0"/>
    <x v="1"/>
    <n v="45"/>
    <s v="Delhi"/>
  </r>
  <r>
    <s v="EMP0445"/>
    <n v="55"/>
    <x v="0"/>
    <x v="5"/>
    <x v="1"/>
    <n v="107848"/>
    <n v="107848"/>
    <n v="3"/>
    <n v="1"/>
    <x v="0"/>
    <n v="8"/>
    <x v="1"/>
    <x v="2"/>
    <n v="53"/>
    <s v="Delhi"/>
  </r>
  <r>
    <s v="EMP0446"/>
    <n v="31"/>
    <x v="1"/>
    <x v="5"/>
    <x v="1"/>
    <n v="33315"/>
    <n v="33315"/>
    <n v="3"/>
    <n v="1"/>
    <x v="1"/>
    <n v="13"/>
    <x v="1"/>
    <x v="2"/>
    <n v="35"/>
    <s v="Hyderabad"/>
  </r>
  <r>
    <s v="EMP0447"/>
    <n v="49"/>
    <x v="1"/>
    <x v="5"/>
    <x v="1"/>
    <n v="57625"/>
    <n v="57625"/>
    <n v="1"/>
    <n v="3"/>
    <x v="0"/>
    <n v="6"/>
    <x v="1"/>
    <x v="2"/>
    <n v="69"/>
    <s v="Chennai"/>
  </r>
  <r>
    <s v="EMP0448"/>
    <n v="51"/>
    <x v="0"/>
    <x v="5"/>
    <x v="0"/>
    <n v="81369"/>
    <n v="81369"/>
    <n v="3"/>
    <n v="3"/>
    <x v="0"/>
    <n v="3"/>
    <x v="1"/>
    <x v="0"/>
    <n v="9"/>
    <s v="Mumbai"/>
  </r>
  <r>
    <s v="EMP0449"/>
    <n v="45"/>
    <x v="0"/>
    <x v="3"/>
    <x v="0"/>
    <n v="23771"/>
    <n v="23771"/>
    <n v="1"/>
    <n v="3"/>
    <x v="1"/>
    <n v="1"/>
    <x v="1"/>
    <x v="1"/>
    <n v="44"/>
    <s v="Chennai"/>
  </r>
  <r>
    <s v="EMP0450"/>
    <n v="57"/>
    <x v="1"/>
    <x v="0"/>
    <x v="6"/>
    <n v="60058"/>
    <n v="60058"/>
    <n v="2"/>
    <n v="3"/>
    <x v="1"/>
    <n v="17"/>
    <x v="0"/>
    <x v="2"/>
    <n v="20"/>
    <s v="Hyderabad"/>
  </r>
  <r>
    <s v="EMP0451"/>
    <n v="30"/>
    <x v="0"/>
    <x v="2"/>
    <x v="3"/>
    <n v="19999"/>
    <n v="19999"/>
    <n v="5"/>
    <n v="5"/>
    <x v="0"/>
    <n v="6"/>
    <x v="0"/>
    <x v="1"/>
    <n v="45"/>
    <s v="Hyderabad"/>
  </r>
  <r>
    <s v="EMP0452"/>
    <n v="30"/>
    <x v="1"/>
    <x v="1"/>
    <x v="6"/>
    <n v="40449"/>
    <n v="40449"/>
    <n v="3"/>
    <n v="5"/>
    <x v="1"/>
    <n v="17"/>
    <x v="0"/>
    <x v="0"/>
    <n v="21"/>
    <s v="Chennai"/>
  </r>
  <r>
    <s v="EMP0453"/>
    <n v="51"/>
    <x v="0"/>
    <x v="3"/>
    <x v="2"/>
    <n v="25051"/>
    <n v="25051"/>
    <n v="4"/>
    <n v="4"/>
    <x v="0"/>
    <n v="19"/>
    <x v="0"/>
    <x v="1"/>
    <n v="50"/>
    <s v="Hyderabad"/>
  </r>
  <r>
    <s v="EMP0454"/>
    <n v="42"/>
    <x v="0"/>
    <x v="0"/>
    <x v="4"/>
    <n v="87924"/>
    <n v="87924"/>
    <n v="4"/>
    <n v="5"/>
    <x v="0"/>
    <n v="2"/>
    <x v="0"/>
    <x v="0"/>
    <n v="63"/>
    <s v="Hyderabad"/>
  </r>
  <r>
    <s v="EMP0455"/>
    <n v="50"/>
    <x v="1"/>
    <x v="5"/>
    <x v="6"/>
    <n v="36837"/>
    <n v="36837"/>
    <n v="3"/>
    <n v="3"/>
    <x v="1"/>
    <n v="5"/>
    <x v="0"/>
    <x v="2"/>
    <n v="63"/>
    <s v="Mumbai"/>
  </r>
  <r>
    <s v="EMP0456"/>
    <n v="22"/>
    <x v="0"/>
    <x v="4"/>
    <x v="3"/>
    <n v="68925"/>
    <n v="68925"/>
    <n v="4"/>
    <n v="2"/>
    <x v="1"/>
    <n v="11"/>
    <x v="1"/>
    <x v="1"/>
    <n v="18"/>
    <s v="Mumbai"/>
  </r>
  <r>
    <s v="EMP0457"/>
    <n v="27"/>
    <x v="1"/>
    <x v="1"/>
    <x v="4"/>
    <n v="27296"/>
    <n v="27296"/>
    <n v="5"/>
    <n v="3"/>
    <x v="1"/>
    <n v="18"/>
    <x v="0"/>
    <x v="0"/>
    <n v="36"/>
    <s v="Delhi"/>
  </r>
  <r>
    <s v="EMP0458"/>
    <n v="31"/>
    <x v="1"/>
    <x v="4"/>
    <x v="14"/>
    <n v="62658"/>
    <n v="62658"/>
    <n v="5"/>
    <n v="4"/>
    <x v="1"/>
    <n v="18"/>
    <x v="0"/>
    <x v="1"/>
    <n v="35"/>
    <s v="Bangalore"/>
  </r>
  <r>
    <s v="EMP0459"/>
    <n v="25"/>
    <x v="1"/>
    <x v="3"/>
    <x v="1"/>
    <n v="96128"/>
    <n v="96128"/>
    <n v="3"/>
    <n v="5"/>
    <x v="0"/>
    <n v="14"/>
    <x v="1"/>
    <x v="2"/>
    <n v="56"/>
    <s v="Chennai"/>
  </r>
  <r>
    <s v="EMP0460"/>
    <n v="27"/>
    <x v="1"/>
    <x v="2"/>
    <x v="2"/>
    <n v="102540"/>
    <n v="102540"/>
    <n v="3"/>
    <n v="2"/>
    <x v="0"/>
    <n v="18"/>
    <x v="1"/>
    <x v="0"/>
    <n v="24"/>
    <s v="Mumbai"/>
  </r>
  <r>
    <s v="EMP0461"/>
    <n v="55"/>
    <x v="1"/>
    <x v="4"/>
    <x v="1"/>
    <n v="93750"/>
    <n v="93750"/>
    <n v="2"/>
    <n v="2"/>
    <x v="1"/>
    <n v="9"/>
    <x v="0"/>
    <x v="2"/>
    <n v="49"/>
    <s v="Chennai"/>
  </r>
  <r>
    <s v="EMP0462"/>
    <n v="58"/>
    <x v="0"/>
    <x v="1"/>
    <x v="1"/>
    <n v="70978"/>
    <n v="70978"/>
    <n v="3"/>
    <n v="1"/>
    <x v="1"/>
    <n v="17"/>
    <x v="1"/>
    <x v="0"/>
    <n v="76"/>
    <s v="Hyderabad"/>
  </r>
  <r>
    <s v="EMP0463"/>
    <n v="28"/>
    <x v="1"/>
    <x v="3"/>
    <x v="15"/>
    <n v="74585"/>
    <n v="74585"/>
    <n v="4"/>
    <n v="3"/>
    <x v="1"/>
    <n v="12"/>
    <x v="0"/>
    <x v="2"/>
    <n v="74"/>
    <s v="Bangalore"/>
  </r>
  <r>
    <s v="EMP0464"/>
    <n v="39"/>
    <x v="1"/>
    <x v="5"/>
    <x v="6"/>
    <n v="90800"/>
    <n v="90800"/>
    <n v="3"/>
    <n v="4"/>
    <x v="0"/>
    <n v="9"/>
    <x v="1"/>
    <x v="0"/>
    <n v="6"/>
    <s v="Chennai"/>
  </r>
  <r>
    <s v="EMP0465"/>
    <n v="22"/>
    <x v="0"/>
    <x v="0"/>
    <x v="2"/>
    <n v="104235"/>
    <n v="104235"/>
    <n v="2"/>
    <n v="1"/>
    <x v="0"/>
    <n v="20"/>
    <x v="0"/>
    <x v="2"/>
    <n v="59"/>
    <s v="Delhi"/>
  </r>
  <r>
    <s v="EMP0466"/>
    <n v="32"/>
    <x v="1"/>
    <x v="1"/>
    <x v="2"/>
    <n v="90358"/>
    <n v="90358"/>
    <n v="4"/>
    <n v="3"/>
    <x v="0"/>
    <n v="5"/>
    <x v="0"/>
    <x v="1"/>
    <n v="5"/>
    <s v="Delhi"/>
  </r>
  <r>
    <s v="EMP0467"/>
    <n v="52"/>
    <x v="0"/>
    <x v="0"/>
    <x v="1"/>
    <n v="53291"/>
    <n v="53291"/>
    <n v="5"/>
    <n v="5"/>
    <x v="1"/>
    <n v="1"/>
    <x v="1"/>
    <x v="1"/>
    <n v="66"/>
    <s v="Hyderabad"/>
  </r>
  <r>
    <s v="EMP0468"/>
    <n v="28"/>
    <x v="1"/>
    <x v="0"/>
    <x v="3"/>
    <n v="36623"/>
    <n v="36623"/>
    <n v="3"/>
    <n v="3"/>
    <x v="0"/>
    <n v="16"/>
    <x v="1"/>
    <x v="0"/>
    <n v="65"/>
    <s v="Chennai"/>
  </r>
  <r>
    <s v="EMP0469"/>
    <n v="55"/>
    <x v="1"/>
    <x v="1"/>
    <x v="3"/>
    <n v="63029"/>
    <n v="63029"/>
    <n v="1"/>
    <n v="4"/>
    <x v="1"/>
    <n v="16"/>
    <x v="0"/>
    <x v="1"/>
    <n v="47"/>
    <s v="Mumbai"/>
  </r>
  <r>
    <s v="EMP0470"/>
    <n v="43"/>
    <x v="1"/>
    <x v="2"/>
    <x v="6"/>
    <n v="22630"/>
    <n v="22630"/>
    <n v="3"/>
    <n v="5"/>
    <x v="1"/>
    <n v="1"/>
    <x v="0"/>
    <x v="1"/>
    <n v="26"/>
    <s v="Delhi"/>
  </r>
  <r>
    <s v="EMP0471"/>
    <n v="24"/>
    <x v="1"/>
    <x v="0"/>
    <x v="1"/>
    <n v="21578"/>
    <n v="21578"/>
    <n v="4"/>
    <n v="1"/>
    <x v="0"/>
    <n v="16"/>
    <x v="1"/>
    <x v="2"/>
    <n v="37"/>
    <s v="Bangalore"/>
  </r>
  <r>
    <s v="EMP0472"/>
    <n v="38"/>
    <x v="1"/>
    <x v="2"/>
    <x v="3"/>
    <n v="115180"/>
    <n v="115180"/>
    <n v="5"/>
    <n v="2"/>
    <x v="0"/>
    <n v="14"/>
    <x v="0"/>
    <x v="0"/>
    <n v="38"/>
    <s v="Bangalore"/>
  </r>
  <r>
    <s v="EMP0473"/>
    <n v="52"/>
    <x v="0"/>
    <x v="1"/>
    <x v="3"/>
    <n v="62937"/>
    <n v="62937"/>
    <n v="2"/>
    <n v="5"/>
    <x v="0"/>
    <n v="15"/>
    <x v="0"/>
    <x v="2"/>
    <n v="35"/>
    <s v="Mumbai"/>
  </r>
  <r>
    <s v="EMP0474"/>
    <n v="31"/>
    <x v="0"/>
    <x v="1"/>
    <x v="4"/>
    <n v="63229"/>
    <n v="63229"/>
    <n v="3"/>
    <n v="1"/>
    <x v="0"/>
    <n v="5"/>
    <x v="0"/>
    <x v="2"/>
    <n v="65"/>
    <s v="Hyderabad"/>
  </r>
  <r>
    <s v="EMP0475"/>
    <n v="51"/>
    <x v="0"/>
    <x v="4"/>
    <x v="4"/>
    <n v="110485"/>
    <n v="110485"/>
    <n v="4"/>
    <n v="3"/>
    <x v="0"/>
    <n v="16"/>
    <x v="0"/>
    <x v="0"/>
    <n v="41"/>
    <s v="Mumbai"/>
  </r>
  <r>
    <s v="EMP0476"/>
    <n v="45"/>
    <x v="1"/>
    <x v="1"/>
    <x v="4"/>
    <n v="68925"/>
    <n v="68925"/>
    <n v="5"/>
    <n v="3"/>
    <x v="1"/>
    <n v="19"/>
    <x v="0"/>
    <x v="2"/>
    <n v="39"/>
    <s v="Hyderabad"/>
  </r>
  <r>
    <s v="EMP0477"/>
    <n v="27"/>
    <x v="1"/>
    <x v="0"/>
    <x v="1"/>
    <n v="69269"/>
    <n v="69269"/>
    <n v="2"/>
    <n v="5"/>
    <x v="0"/>
    <n v="16"/>
    <x v="0"/>
    <x v="1"/>
    <n v="28"/>
    <s v="Hyderabad"/>
  </r>
  <r>
    <s v="EMP0478"/>
    <n v="56"/>
    <x v="0"/>
    <x v="0"/>
    <x v="3"/>
    <n v="26906"/>
    <n v="26906"/>
    <n v="4"/>
    <n v="1"/>
    <x v="0"/>
    <n v="14"/>
    <x v="0"/>
    <x v="0"/>
    <n v="41"/>
    <s v="Hyderabad"/>
  </r>
  <r>
    <s v="EMP0479"/>
    <n v="33"/>
    <x v="0"/>
    <x v="3"/>
    <x v="1"/>
    <n v="30050"/>
    <n v="30050"/>
    <n v="5"/>
    <n v="2"/>
    <x v="0"/>
    <n v="3"/>
    <x v="1"/>
    <x v="1"/>
    <n v="21"/>
    <s v="Mumbai"/>
  </r>
  <r>
    <s v="EMP0480"/>
    <n v="57"/>
    <x v="0"/>
    <x v="3"/>
    <x v="4"/>
    <n v="42151"/>
    <n v="68925"/>
    <n v="3"/>
    <n v="4"/>
    <x v="0"/>
    <n v="20"/>
    <x v="0"/>
    <x v="2"/>
    <n v="59"/>
    <s v="Hyderabad"/>
  </r>
  <r>
    <s v="EMP0481"/>
    <n v="37"/>
    <x v="0"/>
    <x v="3"/>
    <x v="0"/>
    <n v="119856"/>
    <n v="119856"/>
    <n v="4"/>
    <n v="4"/>
    <x v="1"/>
    <n v="1"/>
    <x v="0"/>
    <x v="2"/>
    <n v="27"/>
    <s v="Mumbai"/>
  </r>
  <r>
    <s v="EMP0482"/>
    <n v="25"/>
    <x v="1"/>
    <x v="5"/>
    <x v="1"/>
    <n v="69463"/>
    <n v="69463"/>
    <n v="4"/>
    <n v="1"/>
    <x v="0"/>
    <n v="17"/>
    <x v="0"/>
    <x v="0"/>
    <n v="18"/>
    <s v="Mumbai"/>
  </r>
  <r>
    <s v="EMP0483"/>
    <n v="37"/>
    <x v="0"/>
    <x v="3"/>
    <x v="3"/>
    <n v="27229"/>
    <n v="27229"/>
    <n v="3"/>
    <n v="4"/>
    <x v="0"/>
    <n v="15"/>
    <x v="1"/>
    <x v="1"/>
    <n v="5"/>
    <s v="Chennai"/>
  </r>
  <r>
    <s v="EMP0484"/>
    <n v="45"/>
    <x v="1"/>
    <x v="5"/>
    <x v="4"/>
    <n v="61231"/>
    <n v="61231"/>
    <n v="5"/>
    <n v="1"/>
    <x v="1"/>
    <n v="15"/>
    <x v="0"/>
    <x v="2"/>
    <n v="13"/>
    <s v="Delhi"/>
  </r>
  <r>
    <s v="EMP0485"/>
    <n v="35"/>
    <x v="0"/>
    <x v="4"/>
    <x v="4"/>
    <n v="81185"/>
    <n v="81185"/>
    <n v="5"/>
    <n v="3"/>
    <x v="1"/>
    <n v="10"/>
    <x v="0"/>
    <x v="2"/>
    <n v="12"/>
    <s v="Chennai"/>
  </r>
  <r>
    <s v="EMP0486"/>
    <n v="44"/>
    <x v="1"/>
    <x v="3"/>
    <x v="2"/>
    <n v="117674"/>
    <n v="117674"/>
    <n v="2"/>
    <n v="2"/>
    <x v="0"/>
    <n v="12"/>
    <x v="1"/>
    <x v="2"/>
    <n v="54"/>
    <s v="Chennai"/>
  </r>
  <r>
    <s v="EMP0487"/>
    <n v="43"/>
    <x v="1"/>
    <x v="3"/>
    <x v="4"/>
    <n v="75407"/>
    <n v="75407"/>
    <n v="2"/>
    <n v="1"/>
    <x v="0"/>
    <n v="0"/>
    <x v="1"/>
    <x v="2"/>
    <n v="54"/>
    <s v="Chennai"/>
  </r>
  <r>
    <s v="EMP0488"/>
    <n v="39"/>
    <x v="1"/>
    <x v="4"/>
    <x v="1"/>
    <n v="76891"/>
    <n v="76891"/>
    <n v="1"/>
    <n v="3"/>
    <x v="0"/>
    <n v="10"/>
    <x v="1"/>
    <x v="2"/>
    <n v="20"/>
    <s v="Bangalore"/>
  </r>
  <r>
    <s v="EMP0489"/>
    <n v="54"/>
    <x v="1"/>
    <x v="0"/>
    <x v="1"/>
    <n v="37523"/>
    <n v="37523"/>
    <n v="2"/>
    <n v="1"/>
    <x v="0"/>
    <n v="4"/>
    <x v="0"/>
    <x v="1"/>
    <n v="7"/>
    <s v="Mumbai"/>
  </r>
  <r>
    <s v="EMP0490"/>
    <n v="23"/>
    <x v="0"/>
    <x v="0"/>
    <x v="4"/>
    <n v="35109"/>
    <n v="35109"/>
    <n v="2"/>
    <n v="1"/>
    <x v="1"/>
    <n v="3"/>
    <x v="0"/>
    <x v="1"/>
    <n v="26"/>
    <s v="Delhi"/>
  </r>
  <r>
    <s v="EMP0491"/>
    <n v="25"/>
    <x v="0"/>
    <x v="3"/>
    <x v="2"/>
    <n v="95984"/>
    <n v="95984"/>
    <n v="2"/>
    <n v="1"/>
    <x v="0"/>
    <n v="13"/>
    <x v="0"/>
    <x v="1"/>
    <n v="56"/>
    <s v="Hyderabad"/>
  </r>
  <r>
    <s v="EMP0492"/>
    <n v="28"/>
    <x v="0"/>
    <x v="2"/>
    <x v="6"/>
    <n v="118168"/>
    <n v="118168"/>
    <n v="5"/>
    <n v="2"/>
    <x v="1"/>
    <n v="2"/>
    <x v="1"/>
    <x v="2"/>
    <n v="23"/>
    <s v="Mumbai"/>
  </r>
  <r>
    <s v="EMP0493"/>
    <n v="31"/>
    <x v="1"/>
    <x v="1"/>
    <x v="6"/>
    <n v="75496"/>
    <n v="75496"/>
    <n v="5"/>
    <n v="1"/>
    <x v="0"/>
    <n v="3"/>
    <x v="0"/>
    <x v="0"/>
    <n v="7"/>
    <s v="Mumbai"/>
  </r>
  <r>
    <s v="EMP0494"/>
    <n v="26"/>
    <x v="0"/>
    <x v="3"/>
    <x v="6"/>
    <n v="29683"/>
    <n v="29683"/>
    <n v="3"/>
    <n v="4"/>
    <x v="1"/>
    <n v="4"/>
    <x v="1"/>
    <x v="0"/>
    <n v="39"/>
    <s v="Delhi"/>
  </r>
  <r>
    <s v="EMP0495"/>
    <n v="49"/>
    <x v="1"/>
    <x v="5"/>
    <x v="6"/>
    <n v="98024"/>
    <n v="98024"/>
    <n v="5"/>
    <n v="2"/>
    <x v="1"/>
    <n v="19"/>
    <x v="1"/>
    <x v="1"/>
    <n v="43"/>
    <s v="Hyderabad"/>
  </r>
  <r>
    <s v="EMP0496"/>
    <n v="47"/>
    <x v="0"/>
    <x v="1"/>
    <x v="6"/>
    <n v="43153"/>
    <n v="43153"/>
    <n v="5"/>
    <n v="1"/>
    <x v="1"/>
    <n v="17"/>
    <x v="1"/>
    <x v="2"/>
    <n v="31"/>
    <s v="Hyderabad"/>
  </r>
  <r>
    <s v="EMP0497"/>
    <n v="39"/>
    <x v="0"/>
    <x v="3"/>
    <x v="6"/>
    <n v="107816"/>
    <n v="107816"/>
    <n v="4"/>
    <n v="2"/>
    <x v="0"/>
    <n v="1"/>
    <x v="1"/>
    <x v="1"/>
    <n v="51"/>
    <s v="Hyderabad"/>
  </r>
  <r>
    <s v="EMP0498"/>
    <n v="34"/>
    <x v="1"/>
    <x v="2"/>
    <x v="0"/>
    <n v="98847"/>
    <n v="98847"/>
    <n v="1"/>
    <n v="1"/>
    <x v="0"/>
    <n v="17"/>
    <x v="1"/>
    <x v="0"/>
    <n v="8"/>
    <s v="Mumbai"/>
  </r>
  <r>
    <s v="EMP0499"/>
    <n v="53"/>
    <x v="0"/>
    <x v="3"/>
    <x v="6"/>
    <n v="112555"/>
    <n v="112555"/>
    <n v="5"/>
    <n v="5"/>
    <x v="1"/>
    <n v="13"/>
    <x v="1"/>
    <x v="1"/>
    <n v="46"/>
    <s v="Bangalore"/>
  </r>
  <r>
    <s v="EMP0500"/>
    <n v="28"/>
    <x v="1"/>
    <x v="5"/>
    <x v="3"/>
    <n v="68925"/>
    <n v="68925"/>
    <n v="2"/>
    <n v="4"/>
    <x v="0"/>
    <n v="2"/>
    <x v="0"/>
    <x v="1"/>
    <n v="67"/>
    <s v="Chenna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0582F-BAAC-46EC-A02B-BD5159B826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32" firstHeaderRow="1" firstDataRow="1" firstDataCol="1"/>
  <pivotFields count="15">
    <pivotField showAll="0"/>
    <pivotField showAll="0"/>
    <pivotField showAll="0"/>
    <pivotField showAll="0"/>
    <pivotField axis="axisRow" showAll="0">
      <items count="17">
        <item x="0"/>
        <item x="10"/>
        <item x="13"/>
        <item x="1"/>
        <item x="7"/>
        <item x="2"/>
        <item x="12"/>
        <item x="5"/>
        <item x="6"/>
        <item x="9"/>
        <item x="15"/>
        <item x="4"/>
        <item x="8"/>
        <item x="14"/>
        <item x="3"/>
        <item x="1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Monthly Inco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0BA3F-4C7F-4CD8-8267-7902BA15BD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15">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88447-7B17-4366-92EC-4895AD3E3C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G9" firstHeaderRow="1" firstDataRow="2" firstDataCol="1"/>
  <pivotFields count="15">
    <pivotField dataField="1" showAll="0"/>
    <pivotField showAll="0"/>
    <pivotField showAll="0"/>
    <pivotField axis="axisRow" showAll="0">
      <items count="7">
        <item x="4"/>
        <item x="3"/>
        <item x="2"/>
        <item x="1"/>
        <item x="0"/>
        <item x="5"/>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3"/>
  </rowFields>
  <rowItems count="7">
    <i>
      <x/>
    </i>
    <i>
      <x v="1"/>
    </i>
    <i>
      <x v="2"/>
    </i>
    <i>
      <x v="3"/>
    </i>
    <i>
      <x v="4"/>
    </i>
    <i>
      <x v="5"/>
    </i>
    <i t="grand">
      <x/>
    </i>
  </rowItems>
  <colFields count="1">
    <field x="11"/>
  </colFields>
  <colItems count="3">
    <i>
      <x/>
    </i>
    <i>
      <x v="1"/>
    </i>
    <i t="grand">
      <x/>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E152A3-7775-476E-963A-9151D46CCB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8" firstHeaderRow="1" firstDataRow="1" firstDataCol="1"/>
  <pivotFields count="15">
    <pivotField dataField="1" showAll="0"/>
    <pivotField showAll="0"/>
    <pivotField showAll="0">
      <items count="3">
        <item x="1"/>
        <item x="0"/>
        <item t="default"/>
      </items>
    </pivotField>
    <pivotField axis="axisRow" showAll="0">
      <items count="7">
        <item x="4"/>
        <item x="3"/>
        <item x="2"/>
        <item x="1"/>
        <item x="0"/>
        <item x="5"/>
        <item t="default"/>
      </items>
    </pivotField>
    <pivotField showAll="0">
      <items count="17">
        <item x="0"/>
        <item x="10"/>
        <item x="13"/>
        <item x="1"/>
        <item x="7"/>
        <item x="2"/>
        <item x="12"/>
        <item x="5"/>
        <item x="6"/>
        <item x="9"/>
        <item x="15"/>
        <item x="4"/>
        <item x="8"/>
        <item x="14"/>
        <item x="3"/>
        <item x="1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C060D2-730B-4568-8C2C-81C66F4266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1"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12"/>
  </rowFields>
  <rowItems count="4">
    <i>
      <x/>
    </i>
    <i>
      <x v="1"/>
    </i>
    <i>
      <x v="2"/>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A505AE-8C30-48BF-99FF-9FA398AD4F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G15" firstHeaderRow="1" firstDataRow="2" firstDataCol="1"/>
  <pivotFields count="15">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Col" showAll="0">
      <items count="3">
        <item x="0"/>
        <item x="1"/>
        <item t="default"/>
      </items>
    </pivotField>
    <pivotField showAll="0"/>
    <pivotField showAll="0"/>
    <pivotField showAll="0"/>
  </pivotFields>
  <rowFields count="1">
    <field x="9"/>
  </rowFields>
  <rowItems count="3">
    <i>
      <x/>
    </i>
    <i>
      <x v="1"/>
    </i>
    <i t="grand">
      <x/>
    </i>
  </rowItems>
  <colFields count="1">
    <field x="11"/>
  </colFields>
  <colItems count="3">
    <i>
      <x/>
    </i>
    <i>
      <x v="1"/>
    </i>
    <i t="grand">
      <x/>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026EAB-595E-4DE1-905F-2971430CE729}" autoFormatId="16" applyNumberFormats="0" applyBorderFormats="0" applyFontFormats="0" applyPatternFormats="0" applyAlignmentFormats="0" applyWidthHeightFormats="0">
  <queryTableRefresh nextId="34">
    <queryTableFields count="15">
      <queryTableField id="1" name="EmployeeID" tableColumnId="1"/>
      <queryTableField id="16" name="Age" tableColumnId="16"/>
      <queryTableField id="3" name="Gender" tableColumnId="3"/>
      <queryTableField id="4" name="Department" tableColumnId="4"/>
      <queryTableField id="17" name="Job Role" tableColumnId="17"/>
      <queryTableField id="18" name="Monthly Income" tableColumnId="18"/>
      <queryTableField id="19" name="Job Satisfaction" tableColumnId="19"/>
      <queryTableField id="20" name="Performance Rating" tableColumnId="20"/>
      <queryTableField id="21" name="WorkLife Balance" tableColumnId="21"/>
      <queryTableField id="10" name="Overtime" tableColumnId="10"/>
      <queryTableField id="22" name="Years At Company" tableColumnId="22"/>
      <queryTableField id="12" name="Attrition" tableColumnId="12"/>
      <queryTableField id="23" name="Marital Status" tableColumnId="23"/>
      <queryTableField id="24" name="Training Hours" tableColumnId="24"/>
      <queryTableField id="15" name="Cit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CE475F-0E5E-47BA-9C1F-B0D16A8F0F62}" sourceName="Gender">
  <pivotTables>
    <pivotTable tabId="5" name="PivotTable1"/>
  </pivotTables>
  <data>
    <tabular pivotCacheId="178847986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F2DBF93-B115-467D-A145-5D7A12224F33}" sourceName="Department">
  <pivotTables>
    <pivotTable tabId="5" name="PivotTable1"/>
  </pivotTables>
  <data>
    <tabular pivotCacheId="1788479860">
      <items count="6">
        <i x="4" s="1"/>
        <i x="3" s="1"/>
        <i x="2" s="1"/>
        <i x="1"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1C7E7B48-921A-4755-A900-DF4755877818}" sourceName="JobRole2">
  <pivotTables>
    <pivotTable tabId="5" name="PivotTable1"/>
  </pivotTables>
  <data>
    <tabular pivotCacheId="1788479860">
      <items count="16">
        <i x="0" s="1"/>
        <i x="10" s="1"/>
        <i x="13" s="1"/>
        <i x="1" s="1"/>
        <i x="7" s="1"/>
        <i x="2" s="1"/>
        <i x="12" s="1"/>
        <i x="5" s="1"/>
        <i x="6" s="1"/>
        <i x="9" s="1"/>
        <i x="15" s="1"/>
        <i x="4" s="1"/>
        <i x="8" s="1"/>
        <i x="14" s="1"/>
        <i x="3"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D4C0CAF-5259-4811-9FAD-0578F514C6B0}" sourceName="Attrition">
  <pivotTables>
    <pivotTable tabId="5" name="PivotTable1"/>
  </pivotTables>
  <data>
    <tabular pivotCacheId="17884798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8417E19-0B3E-4C4C-945E-9D4F2BA7D288}" cache="Slicer_Gender" caption="Gender" rowHeight="241300"/>
  <slicer name="Department" xr10:uid="{1AE509FA-21CB-4DBD-A8CB-6F982387A735}" cache="Slicer_Department" caption="Department" rowHeight="241300"/>
  <slicer name="JobRole2" xr10:uid="{8784AF48-C880-465E-B9CD-EDD15443454B}" cache="Slicer_JobRole2" caption="JobRole2" rowHeight="241300"/>
  <slicer name="Attrition" xr10:uid="{A616C8C2-681E-40FB-9805-9C2840DB1DE7}" cache="Slicer_Attrition" caption="Attrition"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B01A9A-1CB7-49F9-808D-9C14892174DB}" name="Table1" displayName="Table1" ref="A1:O501" totalsRowShown="0" headerRowDxfId="72" dataDxfId="70" headerRowBorderDxfId="71" tableBorderDxfId="69" totalsRowBorderDxfId="68">
  <autoFilter ref="A1:O501" xr:uid="{D0B01A9A-1CB7-49F9-808D-9C14892174DB}"/>
  <tableColumns count="15">
    <tableColumn id="1" xr3:uid="{DE498DB1-A499-4ED7-BCD3-EE1E3E4ACF88}" name="EmployeeID" dataDxfId="67"/>
    <tableColumn id="2" xr3:uid="{8754E21A-CF5E-4F47-ACE7-7AAABB771AF3}" name="Age" dataDxfId="66"/>
    <tableColumn id="3" xr3:uid="{B9A0CCBF-D6F9-4F0E-BC6F-AB0C69D51B41}" name="Gender" dataDxfId="65"/>
    <tableColumn id="4" xr3:uid="{949B14B9-5EEE-4FC7-B2E2-005477F39066}" name="Department" dataDxfId="64"/>
    <tableColumn id="5" xr3:uid="{2DB164B8-D163-4FDB-BB7C-E1D0566CF2CE}" name="JobRole" dataDxfId="63"/>
    <tableColumn id="6" xr3:uid="{C72CF1EC-981B-446F-8CFA-ECC04F8EA8DD}" name="MonthlyIncome" dataDxfId="62"/>
    <tableColumn id="7" xr3:uid="{3B3BE3A8-E8F3-494A-977C-6AA3C614A926}" name="JobSatisfaction" dataDxfId="61"/>
    <tableColumn id="8" xr3:uid="{A24187C5-1350-495F-A38A-BC8A448BADD5}" name="PerformanceRating" dataDxfId="60"/>
    <tableColumn id="9" xr3:uid="{1599ED62-FDE3-4166-8193-01333226D723}" name="WorkLifeBalance" dataDxfId="59"/>
    <tableColumn id="10" xr3:uid="{6EA44E26-F822-450F-BED1-59AEF320D3CE}" name="Overtime" dataDxfId="58"/>
    <tableColumn id="11" xr3:uid="{6D9D6BC7-366A-4AB7-8D46-C2647A9CE58E}" name="YearsAtCompany" dataDxfId="57"/>
    <tableColumn id="12" xr3:uid="{55AF5640-01F3-4E11-9E14-1DFDB9FE9DEE}" name="Attrition" dataDxfId="56"/>
    <tableColumn id="13" xr3:uid="{A6CCBB00-EA8E-4DF3-B3CD-F331F13A6A7D}" name="MaritalStatus" dataDxfId="55"/>
    <tableColumn id="14" xr3:uid="{625A6E6B-BBB1-4BD9-A2D4-92F1FDFEF20B}" name="TrainingHours" dataDxfId="54"/>
    <tableColumn id="15" xr3:uid="{61BE225D-4052-414E-8DAD-75DC27871633}" name="City" dataDxfId="5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8F9CA-3065-4031-8D77-2E3425F421A9}" name="Table13" displayName="Table13" ref="A1:U501" totalsRowShown="0" headerRowDxfId="52" dataDxfId="50" headerRowBorderDxfId="51" tableBorderDxfId="49" totalsRowBorderDxfId="48">
  <autoFilter ref="A1:U501" xr:uid="{D0B01A9A-1CB7-49F9-808D-9C14892174DB}"/>
  <tableColumns count="21">
    <tableColumn id="1" xr3:uid="{B846DF67-5963-425D-ADC2-98A6B743A5C5}" name="EmployeeID" dataDxfId="47"/>
    <tableColumn id="2" xr3:uid="{40D1DA3D-8AEA-45C2-8F62-79281056ED41}" name="Age" dataDxfId="46"/>
    <tableColumn id="16" xr3:uid="{8DD8B5AF-4D11-47A7-8CFC-1CD405F60AB4}" name="Age2" dataDxfId="45">
      <calculatedColumnFormula>IF(B2="",39,B2)</calculatedColumnFormula>
    </tableColumn>
    <tableColumn id="3" xr3:uid="{4C6B09CE-8A29-4708-950F-04D2921C27F0}" name="Gender" dataDxfId="44"/>
    <tableColumn id="4" xr3:uid="{9B47DE33-8574-4006-94D8-66158AD83A6E}" name="Department" dataDxfId="43"/>
    <tableColumn id="5" xr3:uid="{46E24FE4-6E27-4776-A8B9-E8BF7F6CB255}" name="JobRole" dataDxfId="42"/>
    <tableColumn id="21" xr3:uid="{E910AD7D-D1FF-47B9-B834-B243E896F011}" name="JobRole2" dataDxfId="41">
      <calculatedColumnFormula>PROPER(F2)</calculatedColumnFormula>
    </tableColumn>
    <tableColumn id="6" xr3:uid="{612A810F-9E4E-4B65-8809-9203A388F162}" name="MonthlyIncome" dataDxfId="40"/>
    <tableColumn id="22" xr3:uid="{0B559C5A-68D3-4E62-85D8-532A343477EB}" name="MonthlyIncome2" dataDxfId="39">
      <calculatedColumnFormula>IF(H2="",68925,H2)</calculatedColumnFormula>
    </tableColumn>
    <tableColumn id="7" xr3:uid="{1DB57B66-61A4-47F7-81AE-5DF0E00757D8}" name="JobSatisfaction" dataDxfId="38"/>
    <tableColumn id="18" xr3:uid="{D29FFF71-FE0A-4592-8545-7FDAB12452DC}" name="JobSatisfaction2" dataDxfId="37">
      <calculatedColumnFormula>IF(J2="",3,J2)</calculatedColumnFormula>
    </tableColumn>
    <tableColumn id="8" xr3:uid="{AD4BE109-E569-4C92-981B-81B0815C6CB1}" name="PerformanceRating" dataDxfId="36"/>
    <tableColumn id="19" xr3:uid="{BA8AC257-6229-471D-ABDF-F010BDF7D1C6}" name="PerformanceRating2" dataDxfId="35">
      <calculatedColumnFormula>IF(L2="",3,L2)</calculatedColumnFormula>
    </tableColumn>
    <tableColumn id="9" xr3:uid="{64BEFBFF-03A2-4095-98A8-354893209FDD}" name="WorkLifeBalance" dataDxfId="34"/>
    <tableColumn id="20" xr3:uid="{5A292518-BB85-4346-9165-4255D675E96F}" name="WorkLifeBalance2" dataDxfId="33">
      <calculatedColumnFormula>IF(N2="",3,N2)</calculatedColumnFormula>
    </tableColumn>
    <tableColumn id="10" xr3:uid="{FF59035B-4822-420F-A314-7DC6F78357F2}" name="Overtime" dataDxfId="32"/>
    <tableColumn id="11" xr3:uid="{9AB11393-82F7-46FE-A98C-28075BB75A37}" name="YearsAtCompany" dataDxfId="31"/>
    <tableColumn id="12" xr3:uid="{94C2D068-4365-4643-9488-2F224177B167}" name="Attrition" dataDxfId="30"/>
    <tableColumn id="13" xr3:uid="{B5A34D4F-5269-4FDE-BB45-3657BEF4F514}" name="MaritalStatus" dataDxfId="29"/>
    <tableColumn id="14" xr3:uid="{E33F3766-5DE5-4D68-8D02-680287D5081A}" name="TrainingHours" dataDxfId="28"/>
    <tableColumn id="15" xr3:uid="{BFF34C73-F051-44E1-A87B-A565A9ED7241}" name="City"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F46326-0D3C-4F74-A8D0-0D0684C5B4B4}" name="Table3" displayName="Table3" ref="A1:O501" totalsRowShown="0" headerRowDxfId="92" dataDxfId="90" headerRowBorderDxfId="91" tableBorderDxfId="89" totalsRowBorderDxfId="88">
  <autoFilter ref="A1:O501" xr:uid="{32F46326-0D3C-4F74-A8D0-0D0684C5B4B4}"/>
  <tableColumns count="15">
    <tableColumn id="1" xr3:uid="{AE140D53-249B-4D2E-9762-CA08EA2DCAE9}" name="EmployeeID" dataDxfId="87"/>
    <tableColumn id="2" xr3:uid="{94D32900-48D4-4BD7-87F5-E8E5A06F5ACC}" name="Age2" dataDxfId="86"/>
    <tableColumn id="3" xr3:uid="{CFC932D2-3563-4B69-83AE-9973758089EC}" name="Gender" dataDxfId="85"/>
    <tableColumn id="4" xr3:uid="{0EB81C15-2958-4ECA-8311-DCAADF8CFF1B}" name="Department" dataDxfId="84"/>
    <tableColumn id="5" xr3:uid="{34D313C3-359F-41F8-A3C8-14842272D863}" name="JobRole2" dataDxfId="83"/>
    <tableColumn id="16" xr3:uid="{42B1B405-2B07-4986-878E-0E5A98D2DB9B}" name="MonthlyIncome2" dataDxfId="82"/>
    <tableColumn id="7" xr3:uid="{F62F9642-27C6-4C3A-BC02-D665843E43DB}" name="JobSatisfaction2" dataDxfId="81"/>
    <tableColumn id="8" xr3:uid="{4F4F445E-8821-4342-874F-D54D3633C163}" name="PerformanceRating" dataDxfId="80"/>
    <tableColumn id="9" xr3:uid="{ACC7B569-C494-491B-AB17-2D23A9B04A92}" name="WorkLifeBalance2" dataDxfId="79"/>
    <tableColumn id="10" xr3:uid="{B7329B0C-88B0-468E-9026-3EBB80F359BE}" name="Overtime" dataDxfId="78"/>
    <tableColumn id="11" xr3:uid="{52A617A6-44CC-4A38-A5D6-429EDF9201D6}" name="YearsAtCompany" dataDxfId="77"/>
    <tableColumn id="12" xr3:uid="{C994107D-4ED5-4D52-A7E5-5EADDB0D53E0}" name="Attrition" dataDxfId="76"/>
    <tableColumn id="13" xr3:uid="{46066A13-EBEC-4AC4-9701-6685FBDC587C}" name="MaritalStatus" dataDxfId="75"/>
    <tableColumn id="14" xr3:uid="{D307B4B8-CB9C-4B2C-BE6E-CBF4F887FC55}" name="TrainingHours" dataDxfId="74"/>
    <tableColumn id="15" xr3:uid="{2F5D40AA-783A-44AE-8770-CFDFD20F964D}" name="City" dataDxfId="7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ED1A0F-63C5-40E7-9F14-4FA2C4C1434D}" name="Table3_1" displayName="Table3_1" ref="A1:O501" tableType="queryTable" totalsRowShown="0">
  <autoFilter ref="A1:O501" xr:uid="{CCED1A0F-63C5-40E7-9F14-4FA2C4C1434D}"/>
  <tableColumns count="15">
    <tableColumn id="1" xr3:uid="{9897AE82-FEA5-4DA1-A261-73C9B4A229B0}" uniqueName="1" name="EmployeeID" queryTableFieldId="1" dataDxfId="7"/>
    <tableColumn id="16" xr3:uid="{7974A8DB-07B7-4CF4-B947-2861CE40BC86}" uniqueName="16" name="Age" queryTableFieldId="16"/>
    <tableColumn id="3" xr3:uid="{C2C24204-E263-4154-9352-12E86386D787}" uniqueName="3" name="Gender" queryTableFieldId="3" dataDxfId="6"/>
    <tableColumn id="4" xr3:uid="{706A7C3D-DEF9-40BB-933C-93C0AC96E16D}" uniqueName="4" name="Department" queryTableFieldId="4" dataDxfId="5"/>
    <tableColumn id="17" xr3:uid="{900D224F-2612-4257-B1A8-7AE6355FB517}" uniqueName="17" name="Job Role" queryTableFieldId="17" dataDxfId="4"/>
    <tableColumn id="18" xr3:uid="{8EB31FA5-0446-47CB-8A2D-44B43904B9EF}" uniqueName="18" name="Monthly Income" queryTableFieldId="18"/>
    <tableColumn id="19" xr3:uid="{6AF4EED2-0434-4E26-9B29-E23A781E817A}" uniqueName="19" name="Job Satisfaction" queryTableFieldId="19"/>
    <tableColumn id="20" xr3:uid="{71CE52E8-BE84-40BC-8FAC-0BAB5D2F014B}" uniqueName="20" name="Performance Rating" queryTableFieldId="20"/>
    <tableColumn id="21" xr3:uid="{803EFFE1-2274-462C-8381-952333AE6164}" uniqueName="21" name="WorkLife Balance" queryTableFieldId="21"/>
    <tableColumn id="10" xr3:uid="{4D810007-9A2A-436E-8784-05347CFB7462}" uniqueName="10" name="Overtime" queryTableFieldId="10" dataDxfId="3"/>
    <tableColumn id="22" xr3:uid="{02094E30-CF1E-4946-BCDA-1E4EE7179ED6}" uniqueName="22" name="Years At Company" queryTableFieldId="22"/>
    <tableColumn id="12" xr3:uid="{889B1458-6ECA-4082-B3B2-91E88FC077CB}" uniqueName="12" name="Attrition" queryTableFieldId="12" dataDxfId="2"/>
    <tableColumn id="23" xr3:uid="{CA946AC6-3024-4D55-938A-326F3FB8CF08}" uniqueName="23" name="Marital Status" queryTableFieldId="23" dataDxfId="1"/>
    <tableColumn id="24" xr3:uid="{D7CB6107-10E0-4DAB-97FB-ABB77878982D}" uniqueName="24" name="Training Hours" queryTableFieldId="24"/>
    <tableColumn id="15" xr3:uid="{CA96D7DF-39CC-40B8-AC5B-4FE2ED1B13E7}" uniqueName="15" name="City" queryTableFieldId="1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058B-AC6A-4B98-8C59-7A3FF7FEB877}">
  <dimension ref="A1:O503"/>
  <sheetViews>
    <sheetView workbookViewId="0">
      <selection activeCell="G13" sqref="G13"/>
    </sheetView>
  </sheetViews>
  <sheetFormatPr defaultRowHeight="15" x14ac:dyDescent="0.25"/>
  <cols>
    <col min="1" max="1" width="15.85546875" customWidth="1"/>
    <col min="3" max="3" width="9.85546875" customWidth="1"/>
    <col min="4" max="4" width="16" customWidth="1"/>
    <col min="5" max="5" width="16.85546875" customWidth="1"/>
    <col min="6" max="6" width="17.28515625" customWidth="1"/>
    <col min="7" max="7" width="17.42578125" customWidth="1"/>
    <col min="8" max="8" width="20.140625" customWidth="1"/>
    <col min="9" max="9" width="18.140625" customWidth="1"/>
    <col min="10" max="10" width="11.5703125" customWidth="1"/>
    <col min="11" max="11" width="18.28515625" customWidth="1"/>
    <col min="12" max="12" width="10.7109375" customWidth="1"/>
    <col min="13" max="13" width="16" customWidth="1"/>
    <col min="14" max="14" width="15.42578125" customWidth="1"/>
    <col min="15" max="15" width="15" customWidth="1"/>
  </cols>
  <sheetData>
    <row r="1" spans="1:15" s="10" customFormat="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9" t="s">
        <v>14</v>
      </c>
    </row>
    <row r="2" spans="1:15" x14ac:dyDescent="0.25">
      <c r="A2" s="2" t="s">
        <v>15</v>
      </c>
      <c r="B2" s="1">
        <v>28</v>
      </c>
      <c r="C2" s="1" t="s">
        <v>16</v>
      </c>
      <c r="D2" s="1" t="s">
        <v>17</v>
      </c>
      <c r="E2" s="1" t="s">
        <v>18</v>
      </c>
      <c r="F2" s="1">
        <v>50098</v>
      </c>
      <c r="G2" s="1">
        <v>2</v>
      </c>
      <c r="H2" s="1">
        <v>2</v>
      </c>
      <c r="I2" s="1">
        <v>1</v>
      </c>
      <c r="J2" s="1" t="s">
        <v>19</v>
      </c>
      <c r="K2" s="1">
        <v>18</v>
      </c>
      <c r="L2" s="1" t="s">
        <v>20</v>
      </c>
      <c r="M2" s="1" t="s">
        <v>21</v>
      </c>
      <c r="N2" s="1">
        <v>8</v>
      </c>
      <c r="O2" s="3" t="s">
        <v>22</v>
      </c>
    </row>
    <row r="3" spans="1:15" x14ac:dyDescent="0.25">
      <c r="A3" s="2" t="s">
        <v>23</v>
      </c>
      <c r="B3" s="1">
        <v>34</v>
      </c>
      <c r="C3" s="1" t="s">
        <v>16</v>
      </c>
      <c r="D3" s="1" t="s">
        <v>24</v>
      </c>
      <c r="E3" s="1" t="s">
        <v>25</v>
      </c>
      <c r="F3" s="1">
        <v>21478</v>
      </c>
      <c r="G3" s="1">
        <v>5</v>
      </c>
      <c r="H3" s="1">
        <v>2</v>
      </c>
      <c r="I3" s="1">
        <v>5</v>
      </c>
      <c r="J3" s="1" t="s">
        <v>20</v>
      </c>
      <c r="K3" s="1">
        <v>7</v>
      </c>
      <c r="L3" s="1" t="s">
        <v>20</v>
      </c>
      <c r="M3" s="1" t="s">
        <v>26</v>
      </c>
      <c r="N3" s="1">
        <v>40</v>
      </c>
      <c r="O3" s="3" t="s">
        <v>22</v>
      </c>
    </row>
    <row r="4" spans="1:15" x14ac:dyDescent="0.25">
      <c r="A4" s="2" t="s">
        <v>27</v>
      </c>
      <c r="B4" s="1">
        <v>31</v>
      </c>
      <c r="C4" s="1" t="s">
        <v>28</v>
      </c>
      <c r="D4" s="1" t="s">
        <v>29</v>
      </c>
      <c r="E4" s="1" t="s">
        <v>18</v>
      </c>
      <c r="F4" s="1">
        <v>38379</v>
      </c>
      <c r="G4" s="1">
        <v>2</v>
      </c>
      <c r="H4" s="1"/>
      <c r="I4" s="1">
        <v>1</v>
      </c>
      <c r="J4" s="1" t="s">
        <v>19</v>
      </c>
      <c r="K4" s="1">
        <v>12</v>
      </c>
      <c r="L4" s="1" t="s">
        <v>19</v>
      </c>
      <c r="M4" s="1" t="s">
        <v>30</v>
      </c>
      <c r="N4" s="1">
        <v>49</v>
      </c>
      <c r="O4" s="3" t="s">
        <v>31</v>
      </c>
    </row>
    <row r="5" spans="1:15" x14ac:dyDescent="0.25">
      <c r="A5" s="2" t="s">
        <v>32</v>
      </c>
      <c r="B5" s="1">
        <v>37</v>
      </c>
      <c r="C5" s="1" t="s">
        <v>16</v>
      </c>
      <c r="D5" s="1" t="s">
        <v>17</v>
      </c>
      <c r="E5" s="1" t="s">
        <v>33</v>
      </c>
      <c r="F5" s="1">
        <v>88284</v>
      </c>
      <c r="G5" s="1">
        <v>1</v>
      </c>
      <c r="H5" s="1">
        <v>4</v>
      </c>
      <c r="I5" s="1">
        <v>1</v>
      </c>
      <c r="J5" s="1" t="s">
        <v>20</v>
      </c>
      <c r="K5" s="1">
        <v>20</v>
      </c>
      <c r="L5" s="1" t="s">
        <v>20</v>
      </c>
      <c r="M5" s="1" t="s">
        <v>26</v>
      </c>
      <c r="N5" s="1">
        <v>29</v>
      </c>
      <c r="O5" s="3" t="s">
        <v>22</v>
      </c>
    </row>
    <row r="6" spans="1:15" x14ac:dyDescent="0.25">
      <c r="A6" s="2" t="s">
        <v>34</v>
      </c>
      <c r="B6" s="1">
        <v>23</v>
      </c>
      <c r="C6" s="1" t="s">
        <v>16</v>
      </c>
      <c r="D6" s="1" t="s">
        <v>29</v>
      </c>
      <c r="E6" s="1" t="s">
        <v>35</v>
      </c>
      <c r="F6" s="1">
        <v>48512</v>
      </c>
      <c r="G6" s="1">
        <v>1</v>
      </c>
      <c r="H6" s="1">
        <v>4</v>
      </c>
      <c r="I6" s="1">
        <v>3</v>
      </c>
      <c r="J6" s="1" t="s">
        <v>20</v>
      </c>
      <c r="K6" s="1">
        <v>20</v>
      </c>
      <c r="L6" s="1" t="s">
        <v>20</v>
      </c>
      <c r="M6" s="1" t="s">
        <v>21</v>
      </c>
      <c r="N6" s="1">
        <v>52</v>
      </c>
      <c r="O6" s="3" t="s">
        <v>36</v>
      </c>
    </row>
    <row r="7" spans="1:15" x14ac:dyDescent="0.25">
      <c r="A7" s="2" t="s">
        <v>37</v>
      </c>
      <c r="B7" s="1">
        <v>34</v>
      </c>
      <c r="C7" s="1" t="s">
        <v>28</v>
      </c>
      <c r="D7" s="1" t="s">
        <v>17</v>
      </c>
      <c r="E7" s="1" t="s">
        <v>38</v>
      </c>
      <c r="F7" s="1">
        <v>102939</v>
      </c>
      <c r="G7" s="1">
        <v>1</v>
      </c>
      <c r="H7" s="1">
        <v>5</v>
      </c>
      <c r="I7" s="1">
        <v>2</v>
      </c>
      <c r="J7" s="1" t="s">
        <v>19</v>
      </c>
      <c r="K7" s="1">
        <v>5</v>
      </c>
      <c r="L7" s="1" t="s">
        <v>20</v>
      </c>
      <c r="M7" s="1" t="s">
        <v>30</v>
      </c>
      <c r="N7" s="1">
        <v>39</v>
      </c>
      <c r="O7" s="3" t="s">
        <v>31</v>
      </c>
    </row>
    <row r="8" spans="1:15" x14ac:dyDescent="0.25">
      <c r="A8" s="2" t="s">
        <v>39</v>
      </c>
      <c r="B8" s="1">
        <v>35</v>
      </c>
      <c r="C8" s="1" t="s">
        <v>28</v>
      </c>
      <c r="D8" s="1" t="s">
        <v>40</v>
      </c>
      <c r="E8" s="1" t="s">
        <v>41</v>
      </c>
      <c r="F8" s="1">
        <v>22207</v>
      </c>
      <c r="G8" s="1">
        <v>3</v>
      </c>
      <c r="H8" s="1">
        <v>4</v>
      </c>
      <c r="I8" s="1">
        <v>3</v>
      </c>
      <c r="J8" s="1" t="s">
        <v>19</v>
      </c>
      <c r="K8" s="1">
        <v>6</v>
      </c>
      <c r="L8" s="1" t="s">
        <v>20</v>
      </c>
      <c r="M8" s="1" t="s">
        <v>21</v>
      </c>
      <c r="N8" s="1">
        <v>68</v>
      </c>
      <c r="O8" s="3" t="s">
        <v>42</v>
      </c>
    </row>
    <row r="9" spans="1:15" x14ac:dyDescent="0.25">
      <c r="A9" s="2" t="s">
        <v>43</v>
      </c>
      <c r="B9" s="1">
        <v>50</v>
      </c>
      <c r="C9" s="1" t="s">
        <v>16</v>
      </c>
      <c r="D9" s="1" t="s">
        <v>29</v>
      </c>
      <c r="E9" s="1" t="s">
        <v>41</v>
      </c>
      <c r="F9" s="1">
        <v>50325</v>
      </c>
      <c r="G9" s="1">
        <v>5</v>
      </c>
      <c r="H9" s="1">
        <v>5</v>
      </c>
      <c r="I9" s="1"/>
      <c r="J9" s="1" t="s">
        <v>20</v>
      </c>
      <c r="K9" s="1">
        <v>18</v>
      </c>
      <c r="L9" s="1" t="s">
        <v>20</v>
      </c>
      <c r="M9" s="1" t="s">
        <v>30</v>
      </c>
      <c r="N9" s="1">
        <v>33</v>
      </c>
      <c r="O9" s="3" t="s">
        <v>44</v>
      </c>
    </row>
    <row r="10" spans="1:15" x14ac:dyDescent="0.25">
      <c r="A10" s="2" t="s">
        <v>45</v>
      </c>
      <c r="B10" s="1">
        <v>53</v>
      </c>
      <c r="C10" s="1" t="s">
        <v>28</v>
      </c>
      <c r="D10" s="1" t="s">
        <v>40</v>
      </c>
      <c r="E10" s="1" t="s">
        <v>35</v>
      </c>
      <c r="F10" s="1">
        <v>32371</v>
      </c>
      <c r="G10" s="1">
        <v>2</v>
      </c>
      <c r="H10" s="1">
        <v>2</v>
      </c>
      <c r="I10" s="1">
        <v>4</v>
      </c>
      <c r="J10" s="1" t="s">
        <v>19</v>
      </c>
      <c r="K10" s="1">
        <v>12</v>
      </c>
      <c r="L10" s="1" t="s">
        <v>20</v>
      </c>
      <c r="M10" s="1" t="s">
        <v>26</v>
      </c>
      <c r="N10" s="1">
        <v>64</v>
      </c>
      <c r="O10" s="3" t="s">
        <v>31</v>
      </c>
    </row>
    <row r="11" spans="1:15" x14ac:dyDescent="0.25">
      <c r="A11" s="2" t="s">
        <v>46</v>
      </c>
      <c r="B11" s="1">
        <v>37</v>
      </c>
      <c r="C11" s="1" t="s">
        <v>16</v>
      </c>
      <c r="D11" s="1" t="s">
        <v>17</v>
      </c>
      <c r="E11" s="1" t="s">
        <v>38</v>
      </c>
      <c r="F11" s="1">
        <v>33014</v>
      </c>
      <c r="G11" s="1">
        <v>5</v>
      </c>
      <c r="H11" s="1">
        <v>3</v>
      </c>
      <c r="I11" s="1">
        <v>3</v>
      </c>
      <c r="J11" s="1" t="s">
        <v>19</v>
      </c>
      <c r="K11" s="1">
        <v>9</v>
      </c>
      <c r="L11" s="1" t="s">
        <v>20</v>
      </c>
      <c r="M11" s="1" t="s">
        <v>21</v>
      </c>
      <c r="N11" s="1">
        <v>63</v>
      </c>
      <c r="O11" s="3" t="s">
        <v>22</v>
      </c>
    </row>
    <row r="12" spans="1:15" x14ac:dyDescent="0.25">
      <c r="A12" s="2" t="s">
        <v>47</v>
      </c>
      <c r="B12" s="1">
        <v>37</v>
      </c>
      <c r="C12" s="1" t="s">
        <v>16</v>
      </c>
      <c r="D12" s="1" t="s">
        <v>24</v>
      </c>
      <c r="E12" s="1" t="s">
        <v>35</v>
      </c>
      <c r="F12" s="1">
        <v>99959</v>
      </c>
      <c r="G12" s="1">
        <v>3</v>
      </c>
      <c r="H12" s="1">
        <v>5</v>
      </c>
      <c r="I12" s="1">
        <v>5</v>
      </c>
      <c r="J12" s="1" t="s">
        <v>19</v>
      </c>
      <c r="K12" s="1">
        <v>4</v>
      </c>
      <c r="L12" s="1" t="s">
        <v>20</v>
      </c>
      <c r="M12" s="1" t="s">
        <v>21</v>
      </c>
      <c r="N12" s="1">
        <v>74</v>
      </c>
      <c r="O12" s="3" t="s">
        <v>31</v>
      </c>
    </row>
    <row r="13" spans="1:15" x14ac:dyDescent="0.25">
      <c r="A13" s="2" t="s">
        <v>48</v>
      </c>
      <c r="B13" s="1">
        <v>21</v>
      </c>
      <c r="C13" s="1" t="s">
        <v>28</v>
      </c>
      <c r="D13" s="1" t="s">
        <v>49</v>
      </c>
      <c r="E13" s="1" t="s">
        <v>35</v>
      </c>
      <c r="F13" s="1">
        <v>32662</v>
      </c>
      <c r="G13" s="1">
        <v>3</v>
      </c>
      <c r="H13" s="1">
        <v>3</v>
      </c>
      <c r="I13" s="1">
        <v>2</v>
      </c>
      <c r="J13" s="1" t="s">
        <v>19</v>
      </c>
      <c r="K13" s="1">
        <v>7</v>
      </c>
      <c r="L13" s="1" t="s">
        <v>19</v>
      </c>
      <c r="M13" s="1" t="s">
        <v>21</v>
      </c>
      <c r="N13" s="1">
        <v>67</v>
      </c>
      <c r="O13" s="3" t="s">
        <v>22</v>
      </c>
    </row>
    <row r="14" spans="1:15" x14ac:dyDescent="0.25">
      <c r="A14" s="2" t="s">
        <v>50</v>
      </c>
      <c r="B14" s="1">
        <v>55</v>
      </c>
      <c r="C14" s="1" t="s">
        <v>16</v>
      </c>
      <c r="D14" s="1" t="s">
        <v>51</v>
      </c>
      <c r="E14" s="1" t="s">
        <v>38</v>
      </c>
      <c r="F14" s="1">
        <v>80296</v>
      </c>
      <c r="G14" s="1">
        <v>5</v>
      </c>
      <c r="H14" s="1">
        <v>2</v>
      </c>
      <c r="I14" s="1">
        <v>3</v>
      </c>
      <c r="J14" s="1" t="s">
        <v>20</v>
      </c>
      <c r="K14" s="1">
        <v>6</v>
      </c>
      <c r="L14" s="1" t="s">
        <v>19</v>
      </c>
      <c r="M14" s="1" t="s">
        <v>26</v>
      </c>
      <c r="N14" s="1">
        <v>44</v>
      </c>
      <c r="O14" s="3" t="s">
        <v>42</v>
      </c>
    </row>
    <row r="15" spans="1:15" x14ac:dyDescent="0.25">
      <c r="A15" s="2" t="s">
        <v>52</v>
      </c>
      <c r="B15" s="1">
        <v>44</v>
      </c>
      <c r="C15" s="1" t="s">
        <v>28</v>
      </c>
      <c r="D15" s="1" t="s">
        <v>24</v>
      </c>
      <c r="E15" s="1" t="s">
        <v>33</v>
      </c>
      <c r="F15" s="1">
        <v>33860</v>
      </c>
      <c r="G15" s="1">
        <v>2</v>
      </c>
      <c r="H15" s="1">
        <v>2</v>
      </c>
      <c r="I15" s="1">
        <v>1</v>
      </c>
      <c r="J15" s="1" t="s">
        <v>20</v>
      </c>
      <c r="K15" s="1">
        <v>0</v>
      </c>
      <c r="L15" s="1" t="s">
        <v>19</v>
      </c>
      <c r="M15" s="1" t="s">
        <v>26</v>
      </c>
      <c r="N15" s="1">
        <v>33</v>
      </c>
      <c r="O15" s="3" t="s">
        <v>22</v>
      </c>
    </row>
    <row r="16" spans="1:15" x14ac:dyDescent="0.25">
      <c r="A16" s="2" t="s">
        <v>53</v>
      </c>
      <c r="B16" s="1">
        <v>25</v>
      </c>
      <c r="C16" s="1" t="s">
        <v>16</v>
      </c>
      <c r="D16" s="1" t="s">
        <v>51</v>
      </c>
      <c r="E16" s="1" t="s">
        <v>35</v>
      </c>
      <c r="F16" s="1">
        <v>22117</v>
      </c>
      <c r="G16" s="1">
        <v>3</v>
      </c>
      <c r="H16" s="1">
        <v>1</v>
      </c>
      <c r="I16" s="1">
        <v>5</v>
      </c>
      <c r="J16" s="1" t="s">
        <v>19</v>
      </c>
      <c r="K16" s="1">
        <v>8</v>
      </c>
      <c r="L16" s="1" t="s">
        <v>20</v>
      </c>
      <c r="M16" s="1" t="s">
        <v>21</v>
      </c>
      <c r="N16" s="1">
        <v>74</v>
      </c>
      <c r="O16" s="3" t="s">
        <v>44</v>
      </c>
    </row>
    <row r="17" spans="1:15" x14ac:dyDescent="0.25">
      <c r="A17" s="2" t="s">
        <v>54</v>
      </c>
      <c r="B17" s="1">
        <v>57</v>
      </c>
      <c r="C17" s="1" t="s">
        <v>28</v>
      </c>
      <c r="D17" s="1" t="s">
        <v>51</v>
      </c>
      <c r="E17" s="1" t="s">
        <v>33</v>
      </c>
      <c r="F17" s="1">
        <v>71354</v>
      </c>
      <c r="G17" s="1">
        <v>2</v>
      </c>
      <c r="H17" s="1">
        <v>1</v>
      </c>
      <c r="I17" s="1">
        <v>1</v>
      </c>
      <c r="J17" s="1" t="s">
        <v>20</v>
      </c>
      <c r="K17" s="1">
        <v>11</v>
      </c>
      <c r="L17" s="1" t="s">
        <v>20</v>
      </c>
      <c r="M17" s="1" t="s">
        <v>30</v>
      </c>
      <c r="N17" s="1">
        <v>64</v>
      </c>
      <c r="O17" s="3" t="s">
        <v>22</v>
      </c>
    </row>
    <row r="18" spans="1:15" x14ac:dyDescent="0.25">
      <c r="A18" s="2" t="s">
        <v>55</v>
      </c>
      <c r="B18" s="1">
        <v>27</v>
      </c>
      <c r="C18" s="1" t="s">
        <v>16</v>
      </c>
      <c r="D18" s="1" t="s">
        <v>49</v>
      </c>
      <c r="E18" s="1" t="s">
        <v>38</v>
      </c>
      <c r="F18" s="1">
        <v>62473</v>
      </c>
      <c r="G18" s="1"/>
      <c r="H18" s="1">
        <v>2</v>
      </c>
      <c r="I18" s="1">
        <v>2</v>
      </c>
      <c r="J18" s="1" t="s">
        <v>19</v>
      </c>
      <c r="K18" s="1">
        <v>17</v>
      </c>
      <c r="L18" s="1" t="s">
        <v>20</v>
      </c>
      <c r="M18" s="1" t="s">
        <v>21</v>
      </c>
      <c r="N18" s="1">
        <v>59</v>
      </c>
      <c r="O18" s="3" t="s">
        <v>44</v>
      </c>
    </row>
    <row r="19" spans="1:15" x14ac:dyDescent="0.25">
      <c r="A19" s="2" t="s">
        <v>56</v>
      </c>
      <c r="B19" s="1">
        <v>38</v>
      </c>
      <c r="C19" s="1" t="s">
        <v>28</v>
      </c>
      <c r="D19" s="1" t="s">
        <v>51</v>
      </c>
      <c r="E19" s="1" t="s">
        <v>35</v>
      </c>
      <c r="F19" s="1">
        <v>76082</v>
      </c>
      <c r="G19" s="1">
        <v>5</v>
      </c>
      <c r="H19" s="1"/>
      <c r="I19" s="1">
        <v>1</v>
      </c>
      <c r="J19" s="1" t="s">
        <v>19</v>
      </c>
      <c r="K19" s="1">
        <v>2</v>
      </c>
      <c r="L19" s="1" t="s">
        <v>19</v>
      </c>
      <c r="M19" s="1" t="s">
        <v>21</v>
      </c>
      <c r="N19" s="1">
        <v>57</v>
      </c>
      <c r="O19" s="3" t="s">
        <v>42</v>
      </c>
    </row>
    <row r="20" spans="1:15" x14ac:dyDescent="0.25">
      <c r="A20" s="2" t="s">
        <v>57</v>
      </c>
      <c r="B20" s="1">
        <v>51</v>
      </c>
      <c r="C20" s="1" t="s">
        <v>16</v>
      </c>
      <c r="D20" s="1" t="s">
        <v>49</v>
      </c>
      <c r="E20" s="1" t="s">
        <v>35</v>
      </c>
      <c r="F20" s="1">
        <v>39579</v>
      </c>
      <c r="G20" s="1">
        <v>4</v>
      </c>
      <c r="H20" s="1">
        <v>1</v>
      </c>
      <c r="I20" s="1">
        <v>4</v>
      </c>
      <c r="J20" s="1" t="s">
        <v>20</v>
      </c>
      <c r="K20" s="1">
        <v>14</v>
      </c>
      <c r="L20" s="1" t="s">
        <v>20</v>
      </c>
      <c r="M20" s="1" t="s">
        <v>30</v>
      </c>
      <c r="N20" s="1">
        <v>76</v>
      </c>
      <c r="O20" s="3" t="s">
        <v>42</v>
      </c>
    </row>
    <row r="21" spans="1:15" x14ac:dyDescent="0.25">
      <c r="A21" s="2" t="s">
        <v>58</v>
      </c>
      <c r="B21" s="1">
        <v>30</v>
      </c>
      <c r="C21" s="1" t="s">
        <v>16</v>
      </c>
      <c r="D21" s="1" t="s">
        <v>29</v>
      </c>
      <c r="E21" s="1" t="s">
        <v>41</v>
      </c>
      <c r="F21" s="1">
        <v>25665</v>
      </c>
      <c r="G21" s="1">
        <v>5</v>
      </c>
      <c r="H21" s="1">
        <v>5</v>
      </c>
      <c r="I21" s="1">
        <v>1</v>
      </c>
      <c r="J21" s="1" t="s">
        <v>20</v>
      </c>
      <c r="K21" s="1">
        <v>1</v>
      </c>
      <c r="L21" s="1" t="s">
        <v>19</v>
      </c>
      <c r="M21" s="1" t="s">
        <v>26</v>
      </c>
      <c r="N21" s="1">
        <v>66</v>
      </c>
      <c r="O21" s="3" t="s">
        <v>31</v>
      </c>
    </row>
    <row r="22" spans="1:15" x14ac:dyDescent="0.25">
      <c r="A22" s="2" t="s">
        <v>59</v>
      </c>
      <c r="B22" s="1">
        <v>54</v>
      </c>
      <c r="C22" s="1" t="s">
        <v>16</v>
      </c>
      <c r="D22" s="1" t="s">
        <v>40</v>
      </c>
      <c r="E22" s="1" t="s">
        <v>25</v>
      </c>
      <c r="F22" s="1">
        <v>28500</v>
      </c>
      <c r="G22" s="1">
        <v>2</v>
      </c>
      <c r="H22" s="1"/>
      <c r="I22" s="1">
        <v>5</v>
      </c>
      <c r="J22" s="1" t="s">
        <v>19</v>
      </c>
      <c r="K22" s="1">
        <v>7</v>
      </c>
      <c r="L22" s="1" t="s">
        <v>20</v>
      </c>
      <c r="M22" s="1" t="s">
        <v>21</v>
      </c>
      <c r="N22" s="1">
        <v>77</v>
      </c>
      <c r="O22" s="3" t="s">
        <v>44</v>
      </c>
    </row>
    <row r="23" spans="1:15" x14ac:dyDescent="0.25">
      <c r="A23" s="2" t="s">
        <v>60</v>
      </c>
      <c r="B23" s="1">
        <v>58</v>
      </c>
      <c r="C23" s="1" t="s">
        <v>16</v>
      </c>
      <c r="D23" s="1" t="s">
        <v>24</v>
      </c>
      <c r="E23" s="1" t="s">
        <v>35</v>
      </c>
      <c r="F23" s="1">
        <v>72948</v>
      </c>
      <c r="G23" s="1">
        <v>5</v>
      </c>
      <c r="H23" s="1">
        <v>5</v>
      </c>
      <c r="I23" s="1">
        <v>5</v>
      </c>
      <c r="J23" s="1" t="s">
        <v>20</v>
      </c>
      <c r="K23" s="1">
        <v>8</v>
      </c>
      <c r="L23" s="1" t="s">
        <v>19</v>
      </c>
      <c r="M23" s="1" t="s">
        <v>26</v>
      </c>
      <c r="N23" s="1">
        <v>45</v>
      </c>
      <c r="O23" s="3" t="s">
        <v>44</v>
      </c>
    </row>
    <row r="24" spans="1:15" x14ac:dyDescent="0.25">
      <c r="A24" s="2" t="s">
        <v>61</v>
      </c>
      <c r="B24" s="1">
        <v>37</v>
      </c>
      <c r="C24" s="1" t="s">
        <v>28</v>
      </c>
      <c r="D24" s="1" t="s">
        <v>51</v>
      </c>
      <c r="E24" s="1" t="s">
        <v>38</v>
      </c>
      <c r="F24" s="1">
        <v>102607</v>
      </c>
      <c r="G24" s="1">
        <v>3</v>
      </c>
      <c r="H24" s="1"/>
      <c r="I24" s="1">
        <v>3</v>
      </c>
      <c r="J24" s="1" t="s">
        <v>19</v>
      </c>
      <c r="K24" s="1">
        <v>0</v>
      </c>
      <c r="L24" s="1" t="s">
        <v>20</v>
      </c>
      <c r="M24" s="1" t="s">
        <v>26</v>
      </c>
      <c r="N24" s="1">
        <v>77</v>
      </c>
      <c r="O24" s="3" t="s">
        <v>22</v>
      </c>
    </row>
    <row r="25" spans="1:15" x14ac:dyDescent="0.25">
      <c r="A25" s="2" t="s">
        <v>62</v>
      </c>
      <c r="B25" s="1">
        <v>25</v>
      </c>
      <c r="C25" s="1" t="s">
        <v>16</v>
      </c>
      <c r="D25" s="1" t="s">
        <v>24</v>
      </c>
      <c r="E25" s="1" t="s">
        <v>18</v>
      </c>
      <c r="F25" s="1">
        <v>35361</v>
      </c>
      <c r="G25" s="1">
        <v>3</v>
      </c>
      <c r="H25" s="1">
        <v>1</v>
      </c>
      <c r="I25" s="1">
        <v>2</v>
      </c>
      <c r="J25" s="1" t="s">
        <v>20</v>
      </c>
      <c r="K25" s="1">
        <v>9</v>
      </c>
      <c r="L25" s="1" t="s">
        <v>19</v>
      </c>
      <c r="M25" s="1" t="s">
        <v>30</v>
      </c>
      <c r="N25" s="1">
        <v>74</v>
      </c>
      <c r="O25" s="3" t="s">
        <v>36</v>
      </c>
    </row>
    <row r="26" spans="1:15" x14ac:dyDescent="0.25">
      <c r="A26" s="2" t="s">
        <v>63</v>
      </c>
      <c r="B26" s="1">
        <v>54</v>
      </c>
      <c r="C26" s="1" t="s">
        <v>16</v>
      </c>
      <c r="D26" s="1" t="s">
        <v>17</v>
      </c>
      <c r="E26" s="1" t="s">
        <v>25</v>
      </c>
      <c r="F26" s="1">
        <v>57240</v>
      </c>
      <c r="G26" s="1">
        <v>1</v>
      </c>
      <c r="H26" s="1">
        <v>2</v>
      </c>
      <c r="I26" s="1">
        <v>3</v>
      </c>
      <c r="J26" s="1" t="s">
        <v>19</v>
      </c>
      <c r="K26" s="1">
        <v>3</v>
      </c>
      <c r="L26" s="1" t="s">
        <v>19</v>
      </c>
      <c r="M26" s="1" t="s">
        <v>30</v>
      </c>
      <c r="N26" s="1">
        <v>41</v>
      </c>
      <c r="O26" s="3" t="s">
        <v>31</v>
      </c>
    </row>
    <row r="27" spans="1:15" x14ac:dyDescent="0.25">
      <c r="A27" s="2" t="s">
        <v>64</v>
      </c>
      <c r="B27" s="1">
        <v>34</v>
      </c>
      <c r="C27" s="1" t="s">
        <v>28</v>
      </c>
      <c r="D27" s="1" t="s">
        <v>51</v>
      </c>
      <c r="E27" s="1" t="s">
        <v>38</v>
      </c>
      <c r="F27" s="1">
        <v>101130</v>
      </c>
      <c r="G27" s="1">
        <v>3</v>
      </c>
      <c r="H27" s="1">
        <v>5</v>
      </c>
      <c r="I27" s="1">
        <v>4</v>
      </c>
      <c r="J27" s="1" t="s">
        <v>20</v>
      </c>
      <c r="K27" s="1">
        <v>1</v>
      </c>
      <c r="L27" s="1" t="s">
        <v>19</v>
      </c>
      <c r="M27" s="1" t="s">
        <v>26</v>
      </c>
      <c r="N27" s="1">
        <v>59</v>
      </c>
      <c r="O27" s="3" t="s">
        <v>36</v>
      </c>
    </row>
    <row r="28" spans="1:15" x14ac:dyDescent="0.25">
      <c r="A28" s="2" t="s">
        <v>65</v>
      </c>
      <c r="B28" s="1">
        <v>23</v>
      </c>
      <c r="C28" s="1" t="s">
        <v>16</v>
      </c>
      <c r="D28" s="1" t="s">
        <v>29</v>
      </c>
      <c r="E28" s="1" t="s">
        <v>41</v>
      </c>
      <c r="F28" s="1">
        <v>101507</v>
      </c>
      <c r="G28" s="1">
        <v>3</v>
      </c>
      <c r="H28" s="1">
        <v>2</v>
      </c>
      <c r="I28" s="1">
        <v>4</v>
      </c>
      <c r="J28" s="1" t="s">
        <v>20</v>
      </c>
      <c r="K28" s="1">
        <v>17</v>
      </c>
      <c r="L28" s="1" t="s">
        <v>19</v>
      </c>
      <c r="M28" s="1" t="s">
        <v>21</v>
      </c>
      <c r="N28" s="1">
        <v>14</v>
      </c>
      <c r="O28" s="3" t="s">
        <v>44</v>
      </c>
    </row>
    <row r="29" spans="1:15" x14ac:dyDescent="0.25">
      <c r="A29" s="2" t="s">
        <v>66</v>
      </c>
      <c r="B29" s="1">
        <v>55</v>
      </c>
      <c r="C29" s="1" t="s">
        <v>16</v>
      </c>
      <c r="D29" s="1" t="s">
        <v>29</v>
      </c>
      <c r="E29" s="1" t="s">
        <v>25</v>
      </c>
      <c r="F29" s="1">
        <v>90420</v>
      </c>
      <c r="G29" s="1">
        <v>2</v>
      </c>
      <c r="H29" s="1">
        <v>4</v>
      </c>
      <c r="I29" s="1">
        <v>2</v>
      </c>
      <c r="J29" s="1" t="s">
        <v>19</v>
      </c>
      <c r="K29" s="1">
        <v>9</v>
      </c>
      <c r="L29" s="1" t="s">
        <v>20</v>
      </c>
      <c r="M29" s="1" t="s">
        <v>21</v>
      </c>
      <c r="N29" s="1">
        <v>50</v>
      </c>
      <c r="O29" s="3" t="s">
        <v>44</v>
      </c>
    </row>
    <row r="30" spans="1:15" x14ac:dyDescent="0.25">
      <c r="A30" s="2" t="s">
        <v>67</v>
      </c>
      <c r="B30" s="1">
        <v>36</v>
      </c>
      <c r="C30" s="1" t="s">
        <v>16</v>
      </c>
      <c r="D30" s="1" t="s">
        <v>29</v>
      </c>
      <c r="E30" s="1" t="s">
        <v>25</v>
      </c>
      <c r="F30" s="1">
        <v>71264</v>
      </c>
      <c r="G30" s="1">
        <v>5</v>
      </c>
      <c r="H30" s="1">
        <v>2</v>
      </c>
      <c r="I30" s="1">
        <v>2</v>
      </c>
      <c r="J30" s="1" t="s">
        <v>19</v>
      </c>
      <c r="K30" s="1">
        <v>5</v>
      </c>
      <c r="L30" s="1" t="s">
        <v>20</v>
      </c>
      <c r="M30" s="1" t="s">
        <v>21</v>
      </c>
      <c r="N30" s="1">
        <v>27</v>
      </c>
      <c r="O30" s="3" t="s">
        <v>36</v>
      </c>
    </row>
    <row r="31" spans="1:15" x14ac:dyDescent="0.25">
      <c r="A31" s="2" t="s">
        <v>68</v>
      </c>
      <c r="B31" s="1">
        <v>47</v>
      </c>
      <c r="C31" s="1" t="s">
        <v>16</v>
      </c>
      <c r="D31" s="1" t="s">
        <v>29</v>
      </c>
      <c r="E31" s="1" t="s">
        <v>41</v>
      </c>
      <c r="F31" s="1">
        <v>109917</v>
      </c>
      <c r="G31" s="1">
        <v>1</v>
      </c>
      <c r="H31" s="1">
        <v>4</v>
      </c>
      <c r="I31" s="1">
        <v>1</v>
      </c>
      <c r="J31" s="1" t="s">
        <v>20</v>
      </c>
      <c r="K31" s="1">
        <v>7</v>
      </c>
      <c r="L31" s="1" t="s">
        <v>19</v>
      </c>
      <c r="M31" s="1" t="s">
        <v>30</v>
      </c>
      <c r="N31" s="1">
        <v>49</v>
      </c>
      <c r="O31" s="3" t="s">
        <v>36</v>
      </c>
    </row>
    <row r="32" spans="1:15" x14ac:dyDescent="0.25">
      <c r="A32" s="2" t="s">
        <v>69</v>
      </c>
      <c r="B32" s="1">
        <v>35</v>
      </c>
      <c r="C32" s="1" t="s">
        <v>16</v>
      </c>
      <c r="D32" s="1" t="s">
        <v>40</v>
      </c>
      <c r="E32" s="1" t="s">
        <v>38</v>
      </c>
      <c r="F32" s="1">
        <v>43313</v>
      </c>
      <c r="G32" s="1"/>
      <c r="H32" s="1">
        <v>3</v>
      </c>
      <c r="I32" s="1">
        <v>3</v>
      </c>
      <c r="J32" s="1" t="s">
        <v>19</v>
      </c>
      <c r="K32" s="1">
        <v>8</v>
      </c>
      <c r="L32" s="1" t="s">
        <v>20</v>
      </c>
      <c r="M32" s="1" t="s">
        <v>26</v>
      </c>
      <c r="N32" s="1">
        <v>70</v>
      </c>
      <c r="O32" s="3" t="s">
        <v>42</v>
      </c>
    </row>
    <row r="33" spans="1:15" x14ac:dyDescent="0.25">
      <c r="A33" s="2" t="s">
        <v>70</v>
      </c>
      <c r="B33" s="1">
        <v>55</v>
      </c>
      <c r="C33" s="1" t="s">
        <v>28</v>
      </c>
      <c r="D33" s="1" t="s">
        <v>40</v>
      </c>
      <c r="E33" s="1" t="s">
        <v>35</v>
      </c>
      <c r="F33" s="1">
        <v>52237</v>
      </c>
      <c r="G33" s="1">
        <v>2</v>
      </c>
      <c r="H33" s="1">
        <v>5</v>
      </c>
      <c r="I33" s="1">
        <v>3</v>
      </c>
      <c r="J33" s="1" t="s">
        <v>19</v>
      </c>
      <c r="K33" s="1">
        <v>3</v>
      </c>
      <c r="L33" s="1" t="s">
        <v>20</v>
      </c>
      <c r="M33" s="1" t="s">
        <v>30</v>
      </c>
      <c r="N33" s="1">
        <v>45</v>
      </c>
      <c r="O33" s="3" t="s">
        <v>42</v>
      </c>
    </row>
    <row r="34" spans="1:15" x14ac:dyDescent="0.25">
      <c r="A34" s="2" t="s">
        <v>71</v>
      </c>
      <c r="B34" s="1">
        <v>53</v>
      </c>
      <c r="C34" s="1" t="s">
        <v>16</v>
      </c>
      <c r="D34" s="1" t="s">
        <v>49</v>
      </c>
      <c r="E34" s="1" t="s">
        <v>25</v>
      </c>
      <c r="F34" s="1">
        <v>42914</v>
      </c>
      <c r="G34" s="1">
        <v>3</v>
      </c>
      <c r="H34" s="1">
        <v>1</v>
      </c>
      <c r="I34" s="1">
        <v>4</v>
      </c>
      <c r="J34" s="1" t="s">
        <v>19</v>
      </c>
      <c r="K34" s="1">
        <v>16</v>
      </c>
      <c r="L34" s="1" t="s">
        <v>19</v>
      </c>
      <c r="M34" s="1" t="s">
        <v>30</v>
      </c>
      <c r="N34" s="1">
        <v>60</v>
      </c>
      <c r="O34" s="3" t="s">
        <v>22</v>
      </c>
    </row>
    <row r="35" spans="1:15" x14ac:dyDescent="0.25">
      <c r="A35" s="2" t="s">
        <v>72</v>
      </c>
      <c r="B35" s="1">
        <v>42</v>
      </c>
      <c r="C35" s="1" t="s">
        <v>28</v>
      </c>
      <c r="D35" s="1" t="s">
        <v>17</v>
      </c>
      <c r="E35" s="1" t="s">
        <v>35</v>
      </c>
      <c r="F35" s="1">
        <v>112339</v>
      </c>
      <c r="G35" s="1">
        <v>3</v>
      </c>
      <c r="H35" s="1">
        <v>5</v>
      </c>
      <c r="I35" s="1">
        <v>3</v>
      </c>
      <c r="J35" s="1" t="s">
        <v>20</v>
      </c>
      <c r="K35" s="1">
        <v>10</v>
      </c>
      <c r="L35" s="1" t="s">
        <v>20</v>
      </c>
      <c r="M35" s="1" t="s">
        <v>26</v>
      </c>
      <c r="N35" s="1">
        <v>42</v>
      </c>
      <c r="O35" s="3" t="s">
        <v>31</v>
      </c>
    </row>
    <row r="36" spans="1:15" x14ac:dyDescent="0.25">
      <c r="A36" s="2" t="s">
        <v>73</v>
      </c>
      <c r="B36" s="1">
        <v>29</v>
      </c>
      <c r="C36" s="1" t="s">
        <v>16</v>
      </c>
      <c r="D36" s="1" t="s">
        <v>49</v>
      </c>
      <c r="E36" s="1" t="s">
        <v>38</v>
      </c>
      <c r="F36" s="1">
        <v>67695</v>
      </c>
      <c r="G36" s="1">
        <v>2</v>
      </c>
      <c r="H36" s="1">
        <v>5</v>
      </c>
      <c r="I36" s="1">
        <v>5</v>
      </c>
      <c r="J36" s="1" t="s">
        <v>20</v>
      </c>
      <c r="K36" s="1">
        <v>12</v>
      </c>
      <c r="L36" s="1" t="s">
        <v>19</v>
      </c>
      <c r="M36" s="1" t="s">
        <v>30</v>
      </c>
      <c r="N36" s="1">
        <v>41</v>
      </c>
      <c r="O36" s="3" t="s">
        <v>44</v>
      </c>
    </row>
    <row r="37" spans="1:15" x14ac:dyDescent="0.25">
      <c r="A37" s="2" t="s">
        <v>74</v>
      </c>
      <c r="B37" s="1">
        <v>48</v>
      </c>
      <c r="C37" s="1" t="s">
        <v>28</v>
      </c>
      <c r="D37" s="1" t="s">
        <v>49</v>
      </c>
      <c r="E37" s="1" t="s">
        <v>33</v>
      </c>
      <c r="F37" s="1">
        <v>75954</v>
      </c>
      <c r="G37" s="1">
        <v>2</v>
      </c>
      <c r="H37" s="1">
        <v>5</v>
      </c>
      <c r="I37" s="1">
        <v>4</v>
      </c>
      <c r="J37" s="1" t="s">
        <v>19</v>
      </c>
      <c r="K37" s="1">
        <v>2</v>
      </c>
      <c r="L37" s="1" t="s">
        <v>20</v>
      </c>
      <c r="M37" s="1" t="s">
        <v>26</v>
      </c>
      <c r="N37" s="1">
        <v>47</v>
      </c>
      <c r="O37" s="3" t="s">
        <v>22</v>
      </c>
    </row>
    <row r="38" spans="1:15" x14ac:dyDescent="0.25">
      <c r="A38" s="2" t="s">
        <v>75</v>
      </c>
      <c r="B38" s="1">
        <v>36</v>
      </c>
      <c r="C38" s="1" t="s">
        <v>28</v>
      </c>
      <c r="D38" s="1" t="s">
        <v>51</v>
      </c>
      <c r="E38" s="1" t="s">
        <v>41</v>
      </c>
      <c r="F38" s="1">
        <v>37313</v>
      </c>
      <c r="G38" s="1">
        <v>1</v>
      </c>
      <c r="H38" s="1">
        <v>1</v>
      </c>
      <c r="I38" s="1">
        <v>2</v>
      </c>
      <c r="J38" s="1" t="s">
        <v>20</v>
      </c>
      <c r="K38" s="1">
        <v>19</v>
      </c>
      <c r="L38" s="1" t="s">
        <v>19</v>
      </c>
      <c r="M38" s="1" t="s">
        <v>30</v>
      </c>
      <c r="N38" s="1">
        <v>58</v>
      </c>
      <c r="O38" s="3" t="s">
        <v>31</v>
      </c>
    </row>
    <row r="39" spans="1:15" x14ac:dyDescent="0.25">
      <c r="A39" s="2" t="s">
        <v>76</v>
      </c>
      <c r="B39" s="1">
        <v>33</v>
      </c>
      <c r="C39" s="1" t="s">
        <v>28</v>
      </c>
      <c r="D39" s="1" t="s">
        <v>49</v>
      </c>
      <c r="E39" s="1" t="s">
        <v>33</v>
      </c>
      <c r="F39" s="1">
        <v>49979</v>
      </c>
      <c r="G39" s="1">
        <v>2</v>
      </c>
      <c r="H39" s="1">
        <v>1</v>
      </c>
      <c r="I39" s="1">
        <v>1</v>
      </c>
      <c r="J39" s="1" t="s">
        <v>20</v>
      </c>
      <c r="K39" s="1">
        <v>7</v>
      </c>
      <c r="L39" s="1" t="s">
        <v>19</v>
      </c>
      <c r="M39" s="1" t="s">
        <v>26</v>
      </c>
      <c r="N39" s="1">
        <v>71</v>
      </c>
      <c r="O39" s="3" t="s">
        <v>42</v>
      </c>
    </row>
    <row r="40" spans="1:15" x14ac:dyDescent="0.25">
      <c r="A40" s="2" t="s">
        <v>77</v>
      </c>
      <c r="B40" s="1">
        <v>24</v>
      </c>
      <c r="C40" s="1" t="s">
        <v>16</v>
      </c>
      <c r="D40" s="1" t="s">
        <v>40</v>
      </c>
      <c r="E40" s="1" t="s">
        <v>33</v>
      </c>
      <c r="F40" s="1">
        <v>35477</v>
      </c>
      <c r="G40" s="1">
        <v>4</v>
      </c>
      <c r="H40" s="1">
        <v>5</v>
      </c>
      <c r="I40" s="1">
        <v>5</v>
      </c>
      <c r="J40" s="1" t="s">
        <v>20</v>
      </c>
      <c r="K40" s="1">
        <v>14</v>
      </c>
      <c r="L40" s="1" t="s">
        <v>20</v>
      </c>
      <c r="M40" s="1" t="s">
        <v>26</v>
      </c>
      <c r="N40" s="1">
        <v>62</v>
      </c>
      <c r="O40" s="3" t="s">
        <v>44</v>
      </c>
    </row>
    <row r="41" spans="1:15" x14ac:dyDescent="0.25">
      <c r="A41" s="2" t="s">
        <v>78</v>
      </c>
      <c r="B41" s="1">
        <v>51</v>
      </c>
      <c r="C41" s="1" t="s">
        <v>28</v>
      </c>
      <c r="D41" s="1" t="s">
        <v>29</v>
      </c>
      <c r="E41" s="1" t="s">
        <v>41</v>
      </c>
      <c r="F41" s="1">
        <v>101579</v>
      </c>
      <c r="G41" s="1">
        <v>3</v>
      </c>
      <c r="H41" s="1">
        <v>5</v>
      </c>
      <c r="I41" s="1">
        <v>4</v>
      </c>
      <c r="J41" s="1" t="s">
        <v>19</v>
      </c>
      <c r="K41" s="1">
        <v>8</v>
      </c>
      <c r="L41" s="1" t="s">
        <v>20</v>
      </c>
      <c r="M41" s="1" t="s">
        <v>21</v>
      </c>
      <c r="N41" s="1">
        <v>41</v>
      </c>
      <c r="O41" s="3" t="s">
        <v>44</v>
      </c>
    </row>
    <row r="42" spans="1:15" x14ac:dyDescent="0.25">
      <c r="A42" s="2" t="s">
        <v>79</v>
      </c>
      <c r="B42" s="1">
        <v>38</v>
      </c>
      <c r="C42" s="1" t="s">
        <v>28</v>
      </c>
      <c r="D42" s="1" t="s">
        <v>29</v>
      </c>
      <c r="E42" s="1" t="s">
        <v>25</v>
      </c>
      <c r="F42" s="1">
        <v>28561</v>
      </c>
      <c r="G42" s="1">
        <v>2</v>
      </c>
      <c r="H42" s="1">
        <v>2</v>
      </c>
      <c r="I42" s="1">
        <v>2</v>
      </c>
      <c r="J42" s="1" t="s">
        <v>20</v>
      </c>
      <c r="K42" s="1">
        <v>4</v>
      </c>
      <c r="L42" s="1" t="s">
        <v>19</v>
      </c>
      <c r="M42" s="1" t="s">
        <v>21</v>
      </c>
      <c r="N42" s="1">
        <v>58</v>
      </c>
      <c r="O42" s="3" t="s">
        <v>42</v>
      </c>
    </row>
    <row r="43" spans="1:15" x14ac:dyDescent="0.25">
      <c r="A43" s="2" t="s">
        <v>80</v>
      </c>
      <c r="B43" s="1">
        <v>42</v>
      </c>
      <c r="C43" s="1" t="s">
        <v>28</v>
      </c>
      <c r="D43" s="1" t="s">
        <v>49</v>
      </c>
      <c r="E43" s="1" t="s">
        <v>35</v>
      </c>
      <c r="F43" s="1">
        <v>45110</v>
      </c>
      <c r="G43" s="1">
        <v>4</v>
      </c>
      <c r="H43" s="1">
        <v>4</v>
      </c>
      <c r="I43" s="1">
        <v>5</v>
      </c>
      <c r="J43" s="1" t="s">
        <v>19</v>
      </c>
      <c r="K43" s="1">
        <v>18</v>
      </c>
      <c r="L43" s="1" t="s">
        <v>20</v>
      </c>
      <c r="M43" s="1" t="s">
        <v>30</v>
      </c>
      <c r="N43" s="1">
        <v>5</v>
      </c>
      <c r="O43" s="3" t="s">
        <v>36</v>
      </c>
    </row>
    <row r="44" spans="1:15" x14ac:dyDescent="0.25">
      <c r="A44" s="2" t="s">
        <v>81</v>
      </c>
      <c r="B44" s="1">
        <v>40</v>
      </c>
      <c r="C44" s="1" t="s">
        <v>28</v>
      </c>
      <c r="D44" s="1" t="s">
        <v>49</v>
      </c>
      <c r="E44" s="1" t="s">
        <v>25</v>
      </c>
      <c r="F44" s="1">
        <v>115978</v>
      </c>
      <c r="G44" s="1">
        <v>5</v>
      </c>
      <c r="H44" s="1">
        <v>5</v>
      </c>
      <c r="I44" s="1">
        <v>2</v>
      </c>
      <c r="J44" s="1" t="s">
        <v>20</v>
      </c>
      <c r="K44" s="1">
        <v>7</v>
      </c>
      <c r="L44" s="1" t="s">
        <v>20</v>
      </c>
      <c r="M44" s="1" t="s">
        <v>30</v>
      </c>
      <c r="N44" s="1">
        <v>67</v>
      </c>
      <c r="O44" s="3" t="s">
        <v>22</v>
      </c>
    </row>
    <row r="45" spans="1:15" x14ac:dyDescent="0.25">
      <c r="A45" s="2" t="s">
        <v>82</v>
      </c>
      <c r="B45" s="1">
        <v>45</v>
      </c>
      <c r="C45" s="1" t="s">
        <v>28</v>
      </c>
      <c r="D45" s="1" t="s">
        <v>17</v>
      </c>
      <c r="E45" s="1" t="s">
        <v>38</v>
      </c>
      <c r="F45" s="1">
        <v>70994</v>
      </c>
      <c r="G45" s="1">
        <v>2</v>
      </c>
      <c r="H45" s="1">
        <v>4</v>
      </c>
      <c r="I45" s="1">
        <v>2</v>
      </c>
      <c r="J45" s="1" t="s">
        <v>19</v>
      </c>
      <c r="K45" s="1">
        <v>12</v>
      </c>
      <c r="L45" s="1" t="s">
        <v>19</v>
      </c>
      <c r="M45" s="1" t="s">
        <v>21</v>
      </c>
      <c r="N45" s="1">
        <v>59</v>
      </c>
      <c r="O45" s="3" t="s">
        <v>44</v>
      </c>
    </row>
    <row r="46" spans="1:15" x14ac:dyDescent="0.25">
      <c r="A46" s="2" t="s">
        <v>83</v>
      </c>
      <c r="B46" s="1"/>
      <c r="C46" s="1" t="s">
        <v>16</v>
      </c>
      <c r="D46" s="1" t="s">
        <v>40</v>
      </c>
      <c r="E46" s="1" t="s">
        <v>18</v>
      </c>
      <c r="F46" s="1">
        <v>67689</v>
      </c>
      <c r="G46" s="1">
        <v>3</v>
      </c>
      <c r="H46" s="1">
        <v>2</v>
      </c>
      <c r="I46" s="1">
        <v>4</v>
      </c>
      <c r="J46" s="1" t="s">
        <v>20</v>
      </c>
      <c r="K46" s="1">
        <v>10</v>
      </c>
      <c r="L46" s="1" t="s">
        <v>20</v>
      </c>
      <c r="M46" s="1" t="s">
        <v>30</v>
      </c>
      <c r="N46" s="1">
        <v>58</v>
      </c>
      <c r="O46" s="3" t="s">
        <v>36</v>
      </c>
    </row>
    <row r="47" spans="1:15" x14ac:dyDescent="0.25">
      <c r="A47" s="2" t="s">
        <v>84</v>
      </c>
      <c r="B47" s="1">
        <v>26</v>
      </c>
      <c r="C47" s="1" t="s">
        <v>28</v>
      </c>
      <c r="D47" s="1" t="s">
        <v>40</v>
      </c>
      <c r="E47" s="1" t="s">
        <v>38</v>
      </c>
      <c r="F47" s="1">
        <v>88702</v>
      </c>
      <c r="G47" s="1">
        <v>1</v>
      </c>
      <c r="H47" s="1">
        <v>3</v>
      </c>
      <c r="I47" s="1">
        <v>2</v>
      </c>
      <c r="J47" s="1" t="s">
        <v>19</v>
      </c>
      <c r="K47" s="1">
        <v>20</v>
      </c>
      <c r="L47" s="1" t="s">
        <v>19</v>
      </c>
      <c r="M47" s="1" t="s">
        <v>21</v>
      </c>
      <c r="N47" s="1">
        <v>36</v>
      </c>
      <c r="O47" s="3" t="s">
        <v>44</v>
      </c>
    </row>
    <row r="48" spans="1:15" x14ac:dyDescent="0.25">
      <c r="A48" s="2" t="s">
        <v>85</v>
      </c>
      <c r="B48" s="1">
        <v>22</v>
      </c>
      <c r="C48" s="1" t="s">
        <v>16</v>
      </c>
      <c r="D48" s="1" t="s">
        <v>51</v>
      </c>
      <c r="E48" s="1" t="s">
        <v>41</v>
      </c>
      <c r="F48" s="1">
        <v>80070</v>
      </c>
      <c r="G48" s="1">
        <v>1</v>
      </c>
      <c r="H48" s="1">
        <v>5</v>
      </c>
      <c r="I48" s="1">
        <v>2</v>
      </c>
      <c r="J48" s="1" t="s">
        <v>20</v>
      </c>
      <c r="K48" s="1">
        <v>8</v>
      </c>
      <c r="L48" s="1" t="s">
        <v>20</v>
      </c>
      <c r="M48" s="1" t="s">
        <v>21</v>
      </c>
      <c r="N48" s="1">
        <v>19</v>
      </c>
      <c r="O48" s="3" t="s">
        <v>44</v>
      </c>
    </row>
    <row r="49" spans="1:15" x14ac:dyDescent="0.25">
      <c r="A49" s="2" t="s">
        <v>86</v>
      </c>
      <c r="B49" s="1">
        <v>40</v>
      </c>
      <c r="C49" s="1" t="s">
        <v>16</v>
      </c>
      <c r="D49" s="1" t="s">
        <v>24</v>
      </c>
      <c r="E49" s="1" t="s">
        <v>35</v>
      </c>
      <c r="F49" s="1">
        <v>58888</v>
      </c>
      <c r="G49" s="1">
        <v>5</v>
      </c>
      <c r="H49" s="1">
        <v>4</v>
      </c>
      <c r="I49" s="1">
        <v>4</v>
      </c>
      <c r="J49" s="1" t="s">
        <v>19</v>
      </c>
      <c r="K49" s="1">
        <v>2</v>
      </c>
      <c r="L49" s="1" t="s">
        <v>19</v>
      </c>
      <c r="M49" s="1" t="s">
        <v>21</v>
      </c>
      <c r="N49" s="1">
        <v>43</v>
      </c>
      <c r="O49" s="3" t="s">
        <v>31</v>
      </c>
    </row>
    <row r="50" spans="1:15" x14ac:dyDescent="0.25">
      <c r="A50" s="2" t="s">
        <v>87</v>
      </c>
      <c r="B50" s="1">
        <v>28</v>
      </c>
      <c r="C50" s="1" t="s">
        <v>16</v>
      </c>
      <c r="D50" s="1" t="s">
        <v>29</v>
      </c>
      <c r="E50" s="1" t="s">
        <v>25</v>
      </c>
      <c r="F50" s="1">
        <v>74148</v>
      </c>
      <c r="G50" s="1">
        <v>3</v>
      </c>
      <c r="H50" s="1">
        <v>1</v>
      </c>
      <c r="I50" s="1">
        <v>5</v>
      </c>
      <c r="J50" s="1" t="s">
        <v>20</v>
      </c>
      <c r="K50" s="1">
        <v>0</v>
      </c>
      <c r="L50" s="1" t="s">
        <v>20</v>
      </c>
      <c r="M50" s="1" t="s">
        <v>30</v>
      </c>
      <c r="N50" s="1">
        <v>18</v>
      </c>
      <c r="O50" s="3" t="s">
        <v>42</v>
      </c>
    </row>
    <row r="51" spans="1:15" x14ac:dyDescent="0.25">
      <c r="A51" s="2" t="s">
        <v>88</v>
      </c>
      <c r="B51" s="1">
        <v>44</v>
      </c>
      <c r="C51" s="1" t="s">
        <v>28</v>
      </c>
      <c r="D51" s="1" t="s">
        <v>17</v>
      </c>
      <c r="E51" s="1" t="s">
        <v>41</v>
      </c>
      <c r="F51" s="1">
        <v>75080</v>
      </c>
      <c r="G51" s="1">
        <v>2</v>
      </c>
      <c r="H51" s="1">
        <v>5</v>
      </c>
      <c r="I51" s="1">
        <v>3</v>
      </c>
      <c r="J51" s="1" t="s">
        <v>20</v>
      </c>
      <c r="K51" s="1">
        <v>14</v>
      </c>
      <c r="L51" s="1" t="s">
        <v>20</v>
      </c>
      <c r="M51" s="1" t="s">
        <v>26</v>
      </c>
      <c r="N51" s="1">
        <v>80</v>
      </c>
      <c r="O51" s="3" t="s">
        <v>36</v>
      </c>
    </row>
    <row r="52" spans="1:15" x14ac:dyDescent="0.25">
      <c r="A52" s="2" t="s">
        <v>89</v>
      </c>
      <c r="B52" s="1">
        <v>41</v>
      </c>
      <c r="C52" s="1" t="s">
        <v>16</v>
      </c>
      <c r="D52" s="1" t="s">
        <v>40</v>
      </c>
      <c r="E52" s="1" t="s">
        <v>18</v>
      </c>
      <c r="F52" s="1">
        <v>77087</v>
      </c>
      <c r="G52" s="1">
        <v>2</v>
      </c>
      <c r="H52" s="1"/>
      <c r="I52" s="1">
        <v>5</v>
      </c>
      <c r="J52" s="1" t="s">
        <v>20</v>
      </c>
      <c r="K52" s="1">
        <v>10</v>
      </c>
      <c r="L52" s="1" t="s">
        <v>19</v>
      </c>
      <c r="M52" s="1" t="s">
        <v>30</v>
      </c>
      <c r="N52" s="1">
        <v>46</v>
      </c>
      <c r="O52" s="3" t="s">
        <v>44</v>
      </c>
    </row>
    <row r="53" spans="1:15" x14ac:dyDescent="0.25">
      <c r="A53" s="2" t="s">
        <v>90</v>
      </c>
      <c r="B53" s="1">
        <v>52</v>
      </c>
      <c r="C53" s="1" t="s">
        <v>16</v>
      </c>
      <c r="D53" s="1" t="s">
        <v>29</v>
      </c>
      <c r="E53" s="1" t="s">
        <v>18</v>
      </c>
      <c r="F53" s="1">
        <v>62608</v>
      </c>
      <c r="G53" s="1">
        <v>3</v>
      </c>
      <c r="H53" s="1">
        <v>5</v>
      </c>
      <c r="I53" s="1">
        <v>3</v>
      </c>
      <c r="J53" s="1" t="s">
        <v>19</v>
      </c>
      <c r="K53" s="1">
        <v>16</v>
      </c>
      <c r="L53" s="1" t="s">
        <v>19</v>
      </c>
      <c r="M53" s="1" t="s">
        <v>21</v>
      </c>
      <c r="N53" s="1">
        <v>35</v>
      </c>
      <c r="O53" s="3" t="s">
        <v>42</v>
      </c>
    </row>
    <row r="54" spans="1:15" x14ac:dyDescent="0.25">
      <c r="A54" s="2" t="s">
        <v>91</v>
      </c>
      <c r="B54" s="1">
        <v>52</v>
      </c>
      <c r="C54" s="1" t="s">
        <v>16</v>
      </c>
      <c r="D54" s="1" t="s">
        <v>17</v>
      </c>
      <c r="E54" s="1" t="s">
        <v>33</v>
      </c>
      <c r="F54" s="1">
        <v>102659</v>
      </c>
      <c r="G54" s="1">
        <v>4</v>
      </c>
      <c r="H54" s="1">
        <v>4</v>
      </c>
      <c r="I54" s="1">
        <v>1</v>
      </c>
      <c r="J54" s="1" t="s">
        <v>19</v>
      </c>
      <c r="K54" s="1">
        <v>9</v>
      </c>
      <c r="L54" s="1" t="s">
        <v>19</v>
      </c>
      <c r="M54" s="1" t="s">
        <v>30</v>
      </c>
      <c r="N54" s="1">
        <v>36</v>
      </c>
      <c r="O54" s="3" t="s">
        <v>36</v>
      </c>
    </row>
    <row r="55" spans="1:15" x14ac:dyDescent="0.25">
      <c r="A55" s="2" t="s">
        <v>92</v>
      </c>
      <c r="B55" s="1">
        <v>58</v>
      </c>
      <c r="C55" s="1" t="s">
        <v>28</v>
      </c>
      <c r="D55" s="1" t="s">
        <v>49</v>
      </c>
      <c r="E55" s="1" t="s">
        <v>25</v>
      </c>
      <c r="F55" s="1">
        <v>87588</v>
      </c>
      <c r="G55" s="1">
        <v>3</v>
      </c>
      <c r="H55" s="1">
        <v>4</v>
      </c>
      <c r="I55" s="1">
        <v>5</v>
      </c>
      <c r="J55" s="1" t="s">
        <v>20</v>
      </c>
      <c r="K55" s="1">
        <v>11</v>
      </c>
      <c r="L55" s="1" t="s">
        <v>20</v>
      </c>
      <c r="M55" s="1" t="s">
        <v>30</v>
      </c>
      <c r="N55" s="1">
        <v>44</v>
      </c>
      <c r="O55" s="3" t="s">
        <v>36</v>
      </c>
    </row>
    <row r="56" spans="1:15" x14ac:dyDescent="0.25">
      <c r="A56" s="2" t="s">
        <v>93</v>
      </c>
      <c r="B56" s="1">
        <v>35</v>
      </c>
      <c r="C56" s="1" t="s">
        <v>16</v>
      </c>
      <c r="D56" s="1" t="s">
        <v>17</v>
      </c>
      <c r="E56" s="1" t="s">
        <v>41</v>
      </c>
      <c r="F56" s="1">
        <v>59359</v>
      </c>
      <c r="G56" s="1">
        <v>1</v>
      </c>
      <c r="H56" s="1">
        <v>5</v>
      </c>
      <c r="I56" s="1">
        <v>2</v>
      </c>
      <c r="J56" s="1" t="s">
        <v>19</v>
      </c>
      <c r="K56" s="1">
        <v>6</v>
      </c>
      <c r="L56" s="1" t="s">
        <v>20</v>
      </c>
      <c r="M56" s="1" t="s">
        <v>30</v>
      </c>
      <c r="N56" s="1">
        <v>80</v>
      </c>
      <c r="O56" s="3" t="s">
        <v>31</v>
      </c>
    </row>
    <row r="57" spans="1:15" x14ac:dyDescent="0.25">
      <c r="A57" s="2" t="s">
        <v>94</v>
      </c>
      <c r="B57" s="1">
        <v>39</v>
      </c>
      <c r="C57" s="1" t="s">
        <v>16</v>
      </c>
      <c r="D57" s="1" t="s">
        <v>51</v>
      </c>
      <c r="E57" s="1" t="s">
        <v>18</v>
      </c>
      <c r="F57" s="1">
        <v>47816</v>
      </c>
      <c r="G57" s="1">
        <v>3</v>
      </c>
      <c r="H57" s="1">
        <v>2</v>
      </c>
      <c r="I57" s="1">
        <v>3</v>
      </c>
      <c r="J57" s="1" t="s">
        <v>19</v>
      </c>
      <c r="K57" s="1">
        <v>17</v>
      </c>
      <c r="L57" s="1" t="s">
        <v>19</v>
      </c>
      <c r="M57" s="1" t="s">
        <v>30</v>
      </c>
      <c r="N57" s="1">
        <v>10</v>
      </c>
      <c r="O57" s="3" t="s">
        <v>22</v>
      </c>
    </row>
    <row r="58" spans="1:15" x14ac:dyDescent="0.25">
      <c r="A58" s="2" t="s">
        <v>95</v>
      </c>
      <c r="B58" s="1">
        <v>56</v>
      </c>
      <c r="C58" s="1" t="s">
        <v>28</v>
      </c>
      <c r="D58" s="1" t="s">
        <v>17</v>
      </c>
      <c r="E58" s="1" t="s">
        <v>41</v>
      </c>
      <c r="F58" s="1">
        <v>101606</v>
      </c>
      <c r="G58" s="1"/>
      <c r="H58" s="1">
        <v>1</v>
      </c>
      <c r="I58" s="1">
        <v>1</v>
      </c>
      <c r="J58" s="1" t="s">
        <v>20</v>
      </c>
      <c r="K58" s="1">
        <v>15</v>
      </c>
      <c r="L58" s="1" t="s">
        <v>20</v>
      </c>
      <c r="M58" s="1" t="s">
        <v>30</v>
      </c>
      <c r="N58" s="1">
        <v>48</v>
      </c>
      <c r="O58" s="3" t="s">
        <v>44</v>
      </c>
    </row>
    <row r="59" spans="1:15" x14ac:dyDescent="0.25">
      <c r="A59" s="2" t="s">
        <v>96</v>
      </c>
      <c r="B59" s="1">
        <v>24</v>
      </c>
      <c r="C59" s="1" t="s">
        <v>28</v>
      </c>
      <c r="D59" s="1" t="s">
        <v>49</v>
      </c>
      <c r="E59" s="1" t="s">
        <v>35</v>
      </c>
      <c r="F59" s="1">
        <v>26564</v>
      </c>
      <c r="G59" s="1">
        <v>4</v>
      </c>
      <c r="H59" s="1">
        <v>4</v>
      </c>
      <c r="I59" s="1">
        <v>1</v>
      </c>
      <c r="J59" s="1" t="s">
        <v>19</v>
      </c>
      <c r="K59" s="1">
        <v>4</v>
      </c>
      <c r="L59" s="1" t="s">
        <v>19</v>
      </c>
      <c r="M59" s="1" t="s">
        <v>26</v>
      </c>
      <c r="N59" s="1">
        <v>43</v>
      </c>
      <c r="O59" s="3" t="s">
        <v>22</v>
      </c>
    </row>
    <row r="60" spans="1:15" x14ac:dyDescent="0.25">
      <c r="A60" s="2" t="s">
        <v>97</v>
      </c>
      <c r="B60" s="1">
        <v>36</v>
      </c>
      <c r="C60" s="1" t="s">
        <v>16</v>
      </c>
      <c r="D60" s="1" t="s">
        <v>24</v>
      </c>
      <c r="E60" s="1" t="s">
        <v>33</v>
      </c>
      <c r="F60" s="1">
        <v>97471</v>
      </c>
      <c r="G60" s="1">
        <v>5</v>
      </c>
      <c r="H60" s="1">
        <v>5</v>
      </c>
      <c r="I60" s="1">
        <v>2</v>
      </c>
      <c r="J60" s="1" t="s">
        <v>20</v>
      </c>
      <c r="K60" s="1">
        <v>14</v>
      </c>
      <c r="L60" s="1" t="s">
        <v>20</v>
      </c>
      <c r="M60" s="1" t="s">
        <v>30</v>
      </c>
      <c r="N60" s="1">
        <v>80</v>
      </c>
      <c r="O60" s="3" t="s">
        <v>42</v>
      </c>
    </row>
    <row r="61" spans="1:15" x14ac:dyDescent="0.25">
      <c r="A61" s="2" t="s">
        <v>98</v>
      </c>
      <c r="B61" s="1">
        <v>40</v>
      </c>
      <c r="C61" s="1" t="s">
        <v>16</v>
      </c>
      <c r="D61" s="1" t="s">
        <v>24</v>
      </c>
      <c r="E61" s="1" t="s">
        <v>38</v>
      </c>
      <c r="F61" s="1">
        <v>31006</v>
      </c>
      <c r="G61" s="1">
        <v>2</v>
      </c>
      <c r="H61" s="1">
        <v>2</v>
      </c>
      <c r="I61" s="1">
        <v>3</v>
      </c>
      <c r="J61" s="1" t="s">
        <v>19</v>
      </c>
      <c r="K61" s="1">
        <v>5</v>
      </c>
      <c r="L61" s="1" t="s">
        <v>19</v>
      </c>
      <c r="M61" s="1" t="s">
        <v>21</v>
      </c>
      <c r="N61" s="1">
        <v>75</v>
      </c>
      <c r="O61" s="3" t="s">
        <v>22</v>
      </c>
    </row>
    <row r="62" spans="1:15" x14ac:dyDescent="0.25">
      <c r="A62" s="2" t="s">
        <v>99</v>
      </c>
      <c r="B62" s="1">
        <v>31</v>
      </c>
      <c r="C62" s="1" t="s">
        <v>16</v>
      </c>
      <c r="D62" s="1" t="s">
        <v>49</v>
      </c>
      <c r="E62" s="1" t="s">
        <v>33</v>
      </c>
      <c r="F62" s="1">
        <v>108357</v>
      </c>
      <c r="G62" s="1">
        <v>5</v>
      </c>
      <c r="H62" s="1">
        <v>4</v>
      </c>
      <c r="I62" s="1">
        <v>3</v>
      </c>
      <c r="J62" s="1" t="s">
        <v>19</v>
      </c>
      <c r="K62" s="1">
        <v>7</v>
      </c>
      <c r="L62" s="1" t="s">
        <v>20</v>
      </c>
      <c r="M62" s="1" t="s">
        <v>26</v>
      </c>
      <c r="N62" s="1">
        <v>41</v>
      </c>
      <c r="O62" s="3" t="s">
        <v>42</v>
      </c>
    </row>
    <row r="63" spans="1:15" x14ac:dyDescent="0.25">
      <c r="A63" s="2" t="s">
        <v>100</v>
      </c>
      <c r="B63" s="1">
        <v>25</v>
      </c>
      <c r="C63" s="1" t="s">
        <v>16</v>
      </c>
      <c r="D63" s="1" t="s">
        <v>29</v>
      </c>
      <c r="E63" s="1" t="s">
        <v>38</v>
      </c>
      <c r="F63" s="1">
        <v>95304</v>
      </c>
      <c r="G63" s="1">
        <v>2</v>
      </c>
      <c r="H63" s="1">
        <v>4</v>
      </c>
      <c r="I63" s="1">
        <v>1</v>
      </c>
      <c r="J63" s="1" t="s">
        <v>19</v>
      </c>
      <c r="K63" s="1">
        <v>20</v>
      </c>
      <c r="L63" s="1" t="s">
        <v>19</v>
      </c>
      <c r="M63" s="1" t="s">
        <v>30</v>
      </c>
      <c r="N63" s="1">
        <v>23</v>
      </c>
      <c r="O63" s="3" t="s">
        <v>22</v>
      </c>
    </row>
    <row r="64" spans="1:15" x14ac:dyDescent="0.25">
      <c r="A64" s="2" t="s">
        <v>101</v>
      </c>
      <c r="B64" s="1">
        <v>24</v>
      </c>
      <c r="C64" s="1" t="s">
        <v>16</v>
      </c>
      <c r="D64" s="1" t="s">
        <v>29</v>
      </c>
      <c r="E64" s="1" t="s">
        <v>25</v>
      </c>
      <c r="F64" s="1">
        <v>116167</v>
      </c>
      <c r="G64" s="1">
        <v>5</v>
      </c>
      <c r="H64" s="1">
        <v>3</v>
      </c>
      <c r="I64" s="1">
        <v>4</v>
      </c>
      <c r="J64" s="1" t="s">
        <v>19</v>
      </c>
      <c r="K64" s="1">
        <v>14</v>
      </c>
      <c r="L64" s="1" t="s">
        <v>20</v>
      </c>
      <c r="M64" s="1" t="s">
        <v>26</v>
      </c>
      <c r="N64" s="1">
        <v>56</v>
      </c>
      <c r="O64" s="3" t="s">
        <v>36</v>
      </c>
    </row>
    <row r="65" spans="1:15" x14ac:dyDescent="0.25">
      <c r="A65" s="2" t="s">
        <v>102</v>
      </c>
      <c r="B65" s="1">
        <v>53</v>
      </c>
      <c r="C65" s="1" t="s">
        <v>28</v>
      </c>
      <c r="D65" s="1" t="s">
        <v>49</v>
      </c>
      <c r="E65" s="1" t="s">
        <v>35</v>
      </c>
      <c r="F65" s="1">
        <v>96385</v>
      </c>
      <c r="G65" s="1">
        <v>1</v>
      </c>
      <c r="H65" s="1">
        <v>4</v>
      </c>
      <c r="I65" s="1">
        <v>3</v>
      </c>
      <c r="J65" s="1" t="s">
        <v>20</v>
      </c>
      <c r="K65" s="1">
        <v>0</v>
      </c>
      <c r="L65" s="1" t="s">
        <v>19</v>
      </c>
      <c r="M65" s="1" t="s">
        <v>21</v>
      </c>
      <c r="N65" s="1">
        <v>78</v>
      </c>
      <c r="O65" s="3" t="s">
        <v>31</v>
      </c>
    </row>
    <row r="66" spans="1:15" x14ac:dyDescent="0.25">
      <c r="A66" s="2" t="s">
        <v>103</v>
      </c>
      <c r="B66" s="1">
        <v>22</v>
      </c>
      <c r="C66" s="1" t="s">
        <v>28</v>
      </c>
      <c r="D66" s="1" t="s">
        <v>24</v>
      </c>
      <c r="E66" s="1" t="s">
        <v>35</v>
      </c>
      <c r="F66" s="1">
        <v>118022</v>
      </c>
      <c r="G66" s="1">
        <v>2</v>
      </c>
      <c r="H66" s="1">
        <v>4</v>
      </c>
      <c r="I66" s="1">
        <v>5</v>
      </c>
      <c r="J66" s="1" t="s">
        <v>20</v>
      </c>
      <c r="K66" s="1">
        <v>8</v>
      </c>
      <c r="L66" s="1" t="s">
        <v>19</v>
      </c>
      <c r="M66" s="1" t="s">
        <v>26</v>
      </c>
      <c r="N66" s="1">
        <v>60</v>
      </c>
      <c r="O66" s="3" t="s">
        <v>42</v>
      </c>
    </row>
    <row r="67" spans="1:15" x14ac:dyDescent="0.25">
      <c r="A67" s="2" t="s">
        <v>104</v>
      </c>
      <c r="B67" s="1">
        <v>26</v>
      </c>
      <c r="C67" s="1" t="s">
        <v>28</v>
      </c>
      <c r="D67" s="1" t="s">
        <v>29</v>
      </c>
      <c r="E67" s="1" t="s">
        <v>33</v>
      </c>
      <c r="F67" s="1">
        <v>61687</v>
      </c>
      <c r="G67" s="1"/>
      <c r="H67" s="1">
        <v>1</v>
      </c>
      <c r="I67" s="1">
        <v>2</v>
      </c>
      <c r="J67" s="1" t="s">
        <v>20</v>
      </c>
      <c r="K67" s="1">
        <v>13</v>
      </c>
      <c r="L67" s="1" t="s">
        <v>20</v>
      </c>
      <c r="M67" s="1" t="s">
        <v>30</v>
      </c>
      <c r="N67" s="1">
        <v>56</v>
      </c>
      <c r="O67" s="3" t="s">
        <v>31</v>
      </c>
    </row>
    <row r="68" spans="1:15" x14ac:dyDescent="0.25">
      <c r="A68" s="2" t="s">
        <v>105</v>
      </c>
      <c r="B68" s="1">
        <v>23</v>
      </c>
      <c r="C68" s="1" t="s">
        <v>28</v>
      </c>
      <c r="D68" s="1" t="s">
        <v>40</v>
      </c>
      <c r="E68" s="1" t="s">
        <v>18</v>
      </c>
      <c r="F68" s="1">
        <v>51082</v>
      </c>
      <c r="G68" s="1">
        <v>3</v>
      </c>
      <c r="H68" s="1">
        <v>1</v>
      </c>
      <c r="I68" s="1">
        <v>4</v>
      </c>
      <c r="J68" s="1" t="s">
        <v>19</v>
      </c>
      <c r="K68" s="1">
        <v>17</v>
      </c>
      <c r="L68" s="1" t="s">
        <v>20</v>
      </c>
      <c r="M68" s="1" t="s">
        <v>30</v>
      </c>
      <c r="N68" s="1">
        <v>11</v>
      </c>
      <c r="O68" s="3" t="s">
        <v>44</v>
      </c>
    </row>
    <row r="69" spans="1:15" x14ac:dyDescent="0.25">
      <c r="A69" s="2" t="s">
        <v>106</v>
      </c>
      <c r="B69" s="1">
        <v>54</v>
      </c>
      <c r="C69" s="1" t="s">
        <v>28</v>
      </c>
      <c r="D69" s="1" t="s">
        <v>24</v>
      </c>
      <c r="E69" s="1" t="s">
        <v>33</v>
      </c>
      <c r="F69" s="1">
        <v>99973</v>
      </c>
      <c r="G69" s="1">
        <v>4</v>
      </c>
      <c r="H69" s="1">
        <v>1</v>
      </c>
      <c r="I69" s="1">
        <v>2</v>
      </c>
      <c r="J69" s="1" t="s">
        <v>20</v>
      </c>
      <c r="K69" s="1">
        <v>17</v>
      </c>
      <c r="L69" s="1" t="s">
        <v>19</v>
      </c>
      <c r="M69" s="1" t="s">
        <v>30</v>
      </c>
      <c r="N69" s="1">
        <v>61</v>
      </c>
      <c r="O69" s="3" t="s">
        <v>42</v>
      </c>
    </row>
    <row r="70" spans="1:15" x14ac:dyDescent="0.25">
      <c r="A70" s="2" t="s">
        <v>107</v>
      </c>
      <c r="B70" s="1">
        <v>28</v>
      </c>
      <c r="C70" s="1" t="s">
        <v>16</v>
      </c>
      <c r="D70" s="1" t="s">
        <v>17</v>
      </c>
      <c r="E70" s="1" t="s">
        <v>25</v>
      </c>
      <c r="F70" s="1">
        <v>49365</v>
      </c>
      <c r="G70" s="1">
        <v>2</v>
      </c>
      <c r="H70" s="1">
        <v>3</v>
      </c>
      <c r="I70" s="1">
        <v>5</v>
      </c>
      <c r="J70" s="1" t="s">
        <v>19</v>
      </c>
      <c r="K70" s="1">
        <v>17</v>
      </c>
      <c r="L70" s="1" t="s">
        <v>20</v>
      </c>
      <c r="M70" s="1" t="s">
        <v>21</v>
      </c>
      <c r="N70" s="1">
        <v>33</v>
      </c>
      <c r="O70" s="3" t="s">
        <v>22</v>
      </c>
    </row>
    <row r="71" spans="1:15" x14ac:dyDescent="0.25">
      <c r="A71" s="2" t="s">
        <v>108</v>
      </c>
      <c r="B71" s="1">
        <v>50</v>
      </c>
      <c r="C71" s="1" t="s">
        <v>16</v>
      </c>
      <c r="D71" s="1" t="s">
        <v>17</v>
      </c>
      <c r="E71" s="1" t="s">
        <v>41</v>
      </c>
      <c r="F71" s="1"/>
      <c r="G71" s="1"/>
      <c r="H71" s="1">
        <v>5</v>
      </c>
      <c r="I71" s="1">
        <v>3</v>
      </c>
      <c r="J71" s="1" t="s">
        <v>20</v>
      </c>
      <c r="K71" s="1">
        <v>15</v>
      </c>
      <c r="L71" s="1" t="s">
        <v>20</v>
      </c>
      <c r="M71" s="1" t="s">
        <v>21</v>
      </c>
      <c r="N71" s="1">
        <v>63</v>
      </c>
      <c r="O71" s="3" t="s">
        <v>31</v>
      </c>
    </row>
    <row r="72" spans="1:15" x14ac:dyDescent="0.25">
      <c r="A72" s="2" t="s">
        <v>109</v>
      </c>
      <c r="B72" s="1">
        <v>30</v>
      </c>
      <c r="C72" s="1" t="s">
        <v>28</v>
      </c>
      <c r="D72" s="1" t="s">
        <v>51</v>
      </c>
      <c r="E72" s="1" t="s">
        <v>25</v>
      </c>
      <c r="F72" s="1">
        <v>84616</v>
      </c>
      <c r="G72" s="1">
        <v>2</v>
      </c>
      <c r="H72" s="1">
        <v>1</v>
      </c>
      <c r="I72" s="1">
        <v>3</v>
      </c>
      <c r="J72" s="1" t="s">
        <v>20</v>
      </c>
      <c r="K72" s="1">
        <v>10</v>
      </c>
      <c r="L72" s="1" t="s">
        <v>20</v>
      </c>
      <c r="M72" s="1" t="s">
        <v>21</v>
      </c>
      <c r="N72" s="1">
        <v>41</v>
      </c>
      <c r="O72" s="3" t="s">
        <v>36</v>
      </c>
    </row>
    <row r="73" spans="1:15" x14ac:dyDescent="0.25">
      <c r="A73" s="2" t="s">
        <v>110</v>
      </c>
      <c r="B73" s="1">
        <v>58</v>
      </c>
      <c r="C73" s="1" t="s">
        <v>28</v>
      </c>
      <c r="D73" s="1" t="s">
        <v>51</v>
      </c>
      <c r="E73" s="1" t="s">
        <v>33</v>
      </c>
      <c r="F73" s="1">
        <v>88592</v>
      </c>
      <c r="G73" s="1">
        <v>4</v>
      </c>
      <c r="H73" s="1">
        <v>3</v>
      </c>
      <c r="I73" s="1">
        <v>3</v>
      </c>
      <c r="J73" s="1" t="s">
        <v>20</v>
      </c>
      <c r="K73" s="1">
        <v>14</v>
      </c>
      <c r="L73" s="1" t="s">
        <v>20</v>
      </c>
      <c r="M73" s="1" t="s">
        <v>21</v>
      </c>
      <c r="N73" s="1">
        <v>35</v>
      </c>
      <c r="O73" s="3" t="s">
        <v>31</v>
      </c>
    </row>
    <row r="74" spans="1:15" x14ac:dyDescent="0.25">
      <c r="A74" s="2" t="s">
        <v>111</v>
      </c>
      <c r="B74" s="1">
        <v>45</v>
      </c>
      <c r="C74" s="1" t="s">
        <v>16</v>
      </c>
      <c r="D74" s="1" t="s">
        <v>49</v>
      </c>
      <c r="E74" s="1" t="s">
        <v>35</v>
      </c>
      <c r="F74" s="1">
        <v>59704</v>
      </c>
      <c r="G74" s="1">
        <v>4</v>
      </c>
      <c r="H74" s="1">
        <v>4</v>
      </c>
      <c r="I74" s="1">
        <v>4</v>
      </c>
      <c r="J74" s="1" t="s">
        <v>19</v>
      </c>
      <c r="K74" s="1">
        <v>15</v>
      </c>
      <c r="L74" s="1" t="s">
        <v>19</v>
      </c>
      <c r="M74" s="1" t="s">
        <v>21</v>
      </c>
      <c r="N74" s="1">
        <v>69</v>
      </c>
      <c r="O74" s="3" t="s">
        <v>31</v>
      </c>
    </row>
    <row r="75" spans="1:15" x14ac:dyDescent="0.25">
      <c r="A75" s="2" t="s">
        <v>112</v>
      </c>
      <c r="B75" s="1">
        <v>42</v>
      </c>
      <c r="C75" s="1" t="s">
        <v>16</v>
      </c>
      <c r="D75" s="1" t="s">
        <v>49</v>
      </c>
      <c r="E75" s="1" t="s">
        <v>35</v>
      </c>
      <c r="F75" s="1">
        <v>86937</v>
      </c>
      <c r="G75" s="1">
        <v>4</v>
      </c>
      <c r="H75" s="1">
        <v>1</v>
      </c>
      <c r="I75" s="1">
        <v>2</v>
      </c>
      <c r="J75" s="1" t="s">
        <v>20</v>
      </c>
      <c r="K75" s="1">
        <v>20</v>
      </c>
      <c r="L75" s="1" t="s">
        <v>19</v>
      </c>
      <c r="M75" s="1" t="s">
        <v>21</v>
      </c>
      <c r="N75" s="1">
        <v>65</v>
      </c>
      <c r="O75" s="3" t="s">
        <v>36</v>
      </c>
    </row>
    <row r="76" spans="1:15" x14ac:dyDescent="0.25">
      <c r="A76" s="2" t="s">
        <v>113</v>
      </c>
      <c r="B76" s="1">
        <v>42</v>
      </c>
      <c r="C76" s="1" t="s">
        <v>28</v>
      </c>
      <c r="D76" s="1" t="s">
        <v>17</v>
      </c>
      <c r="E76" s="1" t="s">
        <v>35</v>
      </c>
      <c r="F76" s="1"/>
      <c r="G76" s="1">
        <v>5</v>
      </c>
      <c r="H76" s="1">
        <v>4</v>
      </c>
      <c r="I76" s="1">
        <v>3</v>
      </c>
      <c r="J76" s="1" t="s">
        <v>20</v>
      </c>
      <c r="K76" s="1">
        <v>17</v>
      </c>
      <c r="L76" s="1" t="s">
        <v>19</v>
      </c>
      <c r="M76" s="1" t="s">
        <v>26</v>
      </c>
      <c r="N76" s="1">
        <v>13</v>
      </c>
      <c r="O76" s="3" t="s">
        <v>44</v>
      </c>
    </row>
    <row r="77" spans="1:15" x14ac:dyDescent="0.25">
      <c r="A77" s="2" t="s">
        <v>114</v>
      </c>
      <c r="B77" s="1">
        <v>39</v>
      </c>
      <c r="C77" s="1" t="s">
        <v>16</v>
      </c>
      <c r="D77" s="1" t="s">
        <v>17</v>
      </c>
      <c r="E77" s="1" t="s">
        <v>35</v>
      </c>
      <c r="F77" s="1">
        <v>74881</v>
      </c>
      <c r="G77" s="1">
        <v>1</v>
      </c>
      <c r="H77" s="1">
        <v>1</v>
      </c>
      <c r="I77" s="1">
        <v>4</v>
      </c>
      <c r="J77" s="1" t="s">
        <v>19</v>
      </c>
      <c r="K77" s="1">
        <v>9</v>
      </c>
      <c r="L77" s="1" t="s">
        <v>19</v>
      </c>
      <c r="M77" s="1" t="s">
        <v>21</v>
      </c>
      <c r="N77" s="1">
        <v>46</v>
      </c>
      <c r="O77" s="3" t="s">
        <v>22</v>
      </c>
    </row>
    <row r="78" spans="1:15" x14ac:dyDescent="0.25">
      <c r="A78" s="2" t="s">
        <v>115</v>
      </c>
      <c r="B78" s="1">
        <v>39</v>
      </c>
      <c r="C78" s="1" t="s">
        <v>28</v>
      </c>
      <c r="D78" s="1" t="s">
        <v>29</v>
      </c>
      <c r="E78" s="1" t="s">
        <v>33</v>
      </c>
      <c r="F78" s="1">
        <v>37080</v>
      </c>
      <c r="G78" s="1">
        <v>2</v>
      </c>
      <c r="H78" s="1">
        <v>5</v>
      </c>
      <c r="I78" s="1"/>
      <c r="J78" s="1" t="s">
        <v>19</v>
      </c>
      <c r="K78" s="1">
        <v>5</v>
      </c>
      <c r="L78" s="1" t="s">
        <v>19</v>
      </c>
      <c r="M78" s="1" t="s">
        <v>21</v>
      </c>
      <c r="N78" s="1">
        <v>53</v>
      </c>
      <c r="O78" s="3" t="s">
        <v>31</v>
      </c>
    </row>
    <row r="79" spans="1:15" x14ac:dyDescent="0.25">
      <c r="A79" s="2" t="s">
        <v>116</v>
      </c>
      <c r="B79" s="1">
        <v>36</v>
      </c>
      <c r="C79" s="1" t="s">
        <v>28</v>
      </c>
      <c r="D79" s="1" t="s">
        <v>24</v>
      </c>
      <c r="E79" s="1" t="s">
        <v>41</v>
      </c>
      <c r="F79" s="1">
        <v>48433</v>
      </c>
      <c r="G79" s="1">
        <v>4</v>
      </c>
      <c r="H79" s="1">
        <v>3</v>
      </c>
      <c r="I79" s="1">
        <v>4</v>
      </c>
      <c r="J79" s="1" t="s">
        <v>20</v>
      </c>
      <c r="K79" s="1">
        <v>0</v>
      </c>
      <c r="L79" s="1" t="s">
        <v>20</v>
      </c>
      <c r="M79" s="1" t="s">
        <v>30</v>
      </c>
      <c r="N79" s="1">
        <v>74</v>
      </c>
      <c r="O79" s="3" t="s">
        <v>44</v>
      </c>
    </row>
    <row r="80" spans="1:15" x14ac:dyDescent="0.25">
      <c r="A80" s="2" t="s">
        <v>117</v>
      </c>
      <c r="B80" s="1">
        <v>25</v>
      </c>
      <c r="C80" s="1" t="s">
        <v>28</v>
      </c>
      <c r="D80" s="1" t="s">
        <v>29</v>
      </c>
      <c r="E80" s="1" t="s">
        <v>25</v>
      </c>
      <c r="F80" s="1">
        <v>57210</v>
      </c>
      <c r="G80" s="1">
        <v>4</v>
      </c>
      <c r="H80" s="1">
        <v>3</v>
      </c>
      <c r="I80" s="1">
        <v>4</v>
      </c>
      <c r="J80" s="1" t="s">
        <v>20</v>
      </c>
      <c r="K80" s="1">
        <v>6</v>
      </c>
      <c r="L80" s="1" t="s">
        <v>20</v>
      </c>
      <c r="M80" s="1" t="s">
        <v>30</v>
      </c>
      <c r="N80" s="1">
        <v>18</v>
      </c>
      <c r="O80" s="3" t="s">
        <v>44</v>
      </c>
    </row>
    <row r="81" spans="1:15" x14ac:dyDescent="0.25">
      <c r="A81" s="2" t="s">
        <v>118</v>
      </c>
      <c r="B81" s="1">
        <v>45</v>
      </c>
      <c r="C81" s="1" t="s">
        <v>28</v>
      </c>
      <c r="D81" s="1" t="s">
        <v>24</v>
      </c>
      <c r="E81" s="1" t="s">
        <v>18</v>
      </c>
      <c r="F81" s="1">
        <v>109655</v>
      </c>
      <c r="G81" s="1">
        <v>3</v>
      </c>
      <c r="H81" s="1">
        <v>1</v>
      </c>
      <c r="I81" s="1">
        <v>4</v>
      </c>
      <c r="J81" s="1" t="s">
        <v>20</v>
      </c>
      <c r="K81" s="1">
        <v>0</v>
      </c>
      <c r="L81" s="1" t="s">
        <v>19</v>
      </c>
      <c r="M81" s="1" t="s">
        <v>26</v>
      </c>
      <c r="N81" s="1">
        <v>68</v>
      </c>
      <c r="O81" s="3" t="s">
        <v>36</v>
      </c>
    </row>
    <row r="82" spans="1:15" x14ac:dyDescent="0.25">
      <c r="A82" s="2" t="s">
        <v>119</v>
      </c>
      <c r="B82" s="1">
        <v>35</v>
      </c>
      <c r="C82" s="1" t="s">
        <v>28</v>
      </c>
      <c r="D82" s="1" t="s">
        <v>51</v>
      </c>
      <c r="E82" s="1" t="s">
        <v>38</v>
      </c>
      <c r="F82" s="1">
        <v>42920</v>
      </c>
      <c r="G82" s="1"/>
      <c r="H82" s="1">
        <v>3</v>
      </c>
      <c r="I82" s="1">
        <v>2</v>
      </c>
      <c r="J82" s="1" t="s">
        <v>19</v>
      </c>
      <c r="K82" s="1">
        <v>20</v>
      </c>
      <c r="L82" s="1" t="s">
        <v>19</v>
      </c>
      <c r="M82" s="1" t="s">
        <v>30</v>
      </c>
      <c r="N82" s="1">
        <v>61</v>
      </c>
      <c r="O82" s="3" t="s">
        <v>22</v>
      </c>
    </row>
    <row r="83" spans="1:15" x14ac:dyDescent="0.25">
      <c r="A83" s="2" t="s">
        <v>120</v>
      </c>
      <c r="B83" s="1">
        <v>58</v>
      </c>
      <c r="C83" s="1" t="s">
        <v>28</v>
      </c>
      <c r="D83" s="1" t="s">
        <v>17</v>
      </c>
      <c r="E83" s="1" t="s">
        <v>41</v>
      </c>
      <c r="F83" s="1">
        <v>29813</v>
      </c>
      <c r="G83" s="1">
        <v>3</v>
      </c>
      <c r="H83" s="1">
        <v>3</v>
      </c>
      <c r="I83" s="1">
        <v>4</v>
      </c>
      <c r="J83" s="1" t="s">
        <v>19</v>
      </c>
      <c r="K83" s="1">
        <v>6</v>
      </c>
      <c r="L83" s="1" t="s">
        <v>19</v>
      </c>
      <c r="M83" s="1" t="s">
        <v>26</v>
      </c>
      <c r="N83" s="1">
        <v>51</v>
      </c>
      <c r="O83" s="3" t="s">
        <v>31</v>
      </c>
    </row>
    <row r="84" spans="1:15" x14ac:dyDescent="0.25">
      <c r="A84" s="2" t="s">
        <v>121</v>
      </c>
      <c r="B84" s="1">
        <v>53</v>
      </c>
      <c r="C84" s="1" t="s">
        <v>28</v>
      </c>
      <c r="D84" s="1" t="s">
        <v>51</v>
      </c>
      <c r="E84" s="1" t="s">
        <v>18</v>
      </c>
      <c r="F84" s="1">
        <v>81156</v>
      </c>
      <c r="G84" s="1">
        <v>3</v>
      </c>
      <c r="H84" s="1">
        <v>3</v>
      </c>
      <c r="I84" s="1">
        <v>1</v>
      </c>
      <c r="J84" s="1" t="s">
        <v>20</v>
      </c>
      <c r="K84" s="1">
        <v>2</v>
      </c>
      <c r="L84" s="1" t="s">
        <v>19</v>
      </c>
      <c r="M84" s="1" t="s">
        <v>21</v>
      </c>
      <c r="N84" s="1">
        <v>55</v>
      </c>
      <c r="O84" s="3" t="s">
        <v>31</v>
      </c>
    </row>
    <row r="85" spans="1:15" x14ac:dyDescent="0.25">
      <c r="A85" s="2" t="s">
        <v>122</v>
      </c>
      <c r="B85" s="1">
        <v>44</v>
      </c>
      <c r="C85" s="1" t="s">
        <v>16</v>
      </c>
      <c r="D85" s="1" t="s">
        <v>49</v>
      </c>
      <c r="E85" s="1" t="s">
        <v>35</v>
      </c>
      <c r="F85" s="1">
        <v>52663</v>
      </c>
      <c r="G85" s="1">
        <v>5</v>
      </c>
      <c r="H85" s="1">
        <v>1</v>
      </c>
      <c r="I85" s="1">
        <v>4</v>
      </c>
      <c r="J85" s="1" t="s">
        <v>20</v>
      </c>
      <c r="K85" s="1">
        <v>8</v>
      </c>
      <c r="L85" s="1" t="s">
        <v>20</v>
      </c>
      <c r="M85" s="1" t="s">
        <v>26</v>
      </c>
      <c r="N85" s="1">
        <v>52</v>
      </c>
      <c r="O85" s="3" t="s">
        <v>22</v>
      </c>
    </row>
    <row r="86" spans="1:15" x14ac:dyDescent="0.25">
      <c r="A86" s="2" t="s">
        <v>123</v>
      </c>
      <c r="B86" s="1">
        <v>35</v>
      </c>
      <c r="C86" s="1" t="s">
        <v>28</v>
      </c>
      <c r="D86" s="1" t="s">
        <v>40</v>
      </c>
      <c r="E86" s="1" t="s">
        <v>25</v>
      </c>
      <c r="F86" s="1">
        <v>91584</v>
      </c>
      <c r="G86" s="1">
        <v>3</v>
      </c>
      <c r="H86" s="1">
        <v>5</v>
      </c>
      <c r="I86" s="1">
        <v>2</v>
      </c>
      <c r="J86" s="1" t="s">
        <v>19</v>
      </c>
      <c r="K86" s="1">
        <v>20</v>
      </c>
      <c r="L86" s="1" t="s">
        <v>20</v>
      </c>
      <c r="M86" s="1" t="s">
        <v>26</v>
      </c>
      <c r="N86" s="1">
        <v>43</v>
      </c>
      <c r="O86" s="3" t="s">
        <v>42</v>
      </c>
    </row>
    <row r="87" spans="1:15" x14ac:dyDescent="0.25">
      <c r="A87" s="2" t="s">
        <v>124</v>
      </c>
      <c r="B87" s="1">
        <v>28</v>
      </c>
      <c r="C87" s="1" t="s">
        <v>16</v>
      </c>
      <c r="D87" s="1" t="s">
        <v>40</v>
      </c>
      <c r="E87" s="1" t="s">
        <v>35</v>
      </c>
      <c r="F87" s="1">
        <v>57893</v>
      </c>
      <c r="G87" s="1">
        <v>4</v>
      </c>
      <c r="H87" s="1">
        <v>1</v>
      </c>
      <c r="I87" s="1">
        <v>1</v>
      </c>
      <c r="J87" s="1" t="s">
        <v>19</v>
      </c>
      <c r="K87" s="1">
        <v>17</v>
      </c>
      <c r="L87" s="1" t="s">
        <v>19</v>
      </c>
      <c r="M87" s="1" t="s">
        <v>30</v>
      </c>
      <c r="N87" s="1">
        <v>63</v>
      </c>
      <c r="O87" s="3" t="s">
        <v>36</v>
      </c>
    </row>
    <row r="88" spans="1:15" x14ac:dyDescent="0.25">
      <c r="A88" s="2" t="s">
        <v>125</v>
      </c>
      <c r="B88" s="1">
        <v>55</v>
      </c>
      <c r="C88" s="1" t="s">
        <v>28</v>
      </c>
      <c r="D88" s="1" t="s">
        <v>24</v>
      </c>
      <c r="E88" s="1" t="s">
        <v>38</v>
      </c>
      <c r="F88" s="1">
        <v>113236</v>
      </c>
      <c r="G88" s="1">
        <v>2</v>
      </c>
      <c r="H88" s="1">
        <v>4</v>
      </c>
      <c r="I88" s="1">
        <v>1</v>
      </c>
      <c r="J88" s="1" t="s">
        <v>20</v>
      </c>
      <c r="K88" s="1">
        <v>19</v>
      </c>
      <c r="L88" s="1" t="s">
        <v>20</v>
      </c>
      <c r="M88" s="1" t="s">
        <v>30</v>
      </c>
      <c r="N88" s="1">
        <v>9</v>
      </c>
      <c r="O88" s="3" t="s">
        <v>36</v>
      </c>
    </row>
    <row r="89" spans="1:15" x14ac:dyDescent="0.25">
      <c r="A89" s="2" t="s">
        <v>126</v>
      </c>
      <c r="B89" s="1"/>
      <c r="C89" s="1" t="s">
        <v>28</v>
      </c>
      <c r="D89" s="1" t="s">
        <v>49</v>
      </c>
      <c r="E89" s="1" t="s">
        <v>41</v>
      </c>
      <c r="F89" s="1">
        <v>65537</v>
      </c>
      <c r="G89" s="1"/>
      <c r="H89" s="1">
        <v>3</v>
      </c>
      <c r="I89" s="1">
        <v>5</v>
      </c>
      <c r="J89" s="1" t="s">
        <v>20</v>
      </c>
      <c r="K89" s="1">
        <v>1</v>
      </c>
      <c r="L89" s="1" t="s">
        <v>20</v>
      </c>
      <c r="M89" s="1" t="s">
        <v>30</v>
      </c>
      <c r="N89" s="1">
        <v>29</v>
      </c>
      <c r="O89" s="3" t="s">
        <v>22</v>
      </c>
    </row>
    <row r="90" spans="1:15" x14ac:dyDescent="0.25">
      <c r="A90" s="2" t="s">
        <v>127</v>
      </c>
      <c r="B90" s="1">
        <v>50</v>
      </c>
      <c r="C90" s="1" t="s">
        <v>16</v>
      </c>
      <c r="D90" s="1" t="s">
        <v>17</v>
      </c>
      <c r="E90" s="1" t="s">
        <v>41</v>
      </c>
      <c r="F90" s="1">
        <v>102109</v>
      </c>
      <c r="G90" s="1">
        <v>5</v>
      </c>
      <c r="H90" s="1">
        <v>1</v>
      </c>
      <c r="I90" s="1">
        <v>1</v>
      </c>
      <c r="J90" s="1" t="s">
        <v>20</v>
      </c>
      <c r="K90" s="1">
        <v>7</v>
      </c>
      <c r="L90" s="1" t="s">
        <v>19</v>
      </c>
      <c r="M90" s="1" t="s">
        <v>26</v>
      </c>
      <c r="N90" s="1">
        <v>31</v>
      </c>
      <c r="O90" s="3" t="s">
        <v>22</v>
      </c>
    </row>
    <row r="91" spans="1:15" x14ac:dyDescent="0.25">
      <c r="A91" s="2" t="s">
        <v>128</v>
      </c>
      <c r="B91" s="1">
        <v>56</v>
      </c>
      <c r="C91" s="1" t="s">
        <v>16</v>
      </c>
      <c r="D91" s="1" t="s">
        <v>24</v>
      </c>
      <c r="E91" s="1" t="s">
        <v>41</v>
      </c>
      <c r="F91" s="1">
        <v>48539</v>
      </c>
      <c r="G91" s="1">
        <v>3</v>
      </c>
      <c r="H91" s="1">
        <v>2</v>
      </c>
      <c r="I91" s="1">
        <v>5</v>
      </c>
      <c r="J91" s="1" t="s">
        <v>19</v>
      </c>
      <c r="K91" s="1">
        <v>8</v>
      </c>
      <c r="L91" s="1" t="s">
        <v>19</v>
      </c>
      <c r="M91" s="1" t="s">
        <v>21</v>
      </c>
      <c r="N91" s="1">
        <v>74</v>
      </c>
      <c r="O91" s="3" t="s">
        <v>36</v>
      </c>
    </row>
    <row r="92" spans="1:15" x14ac:dyDescent="0.25">
      <c r="A92" s="2" t="s">
        <v>129</v>
      </c>
      <c r="B92" s="1">
        <v>32</v>
      </c>
      <c r="C92" s="1" t="s">
        <v>16</v>
      </c>
      <c r="D92" s="1" t="s">
        <v>17</v>
      </c>
      <c r="E92" s="1" t="s">
        <v>35</v>
      </c>
      <c r="F92" s="1">
        <v>35275</v>
      </c>
      <c r="G92" s="1">
        <v>1</v>
      </c>
      <c r="H92" s="1">
        <v>3</v>
      </c>
      <c r="I92" s="1">
        <v>2</v>
      </c>
      <c r="J92" s="1" t="s">
        <v>20</v>
      </c>
      <c r="K92" s="1">
        <v>0</v>
      </c>
      <c r="L92" s="1" t="s">
        <v>19</v>
      </c>
      <c r="M92" s="1" t="s">
        <v>30</v>
      </c>
      <c r="N92" s="1">
        <v>11</v>
      </c>
      <c r="O92" s="3" t="s">
        <v>44</v>
      </c>
    </row>
    <row r="93" spans="1:15" x14ac:dyDescent="0.25">
      <c r="A93" s="2" t="s">
        <v>130</v>
      </c>
      <c r="B93" s="1">
        <v>47</v>
      </c>
      <c r="C93" s="1" t="s">
        <v>16</v>
      </c>
      <c r="D93" s="1" t="s">
        <v>17</v>
      </c>
      <c r="E93" s="1" t="s">
        <v>35</v>
      </c>
      <c r="F93" s="1"/>
      <c r="G93" s="1">
        <v>4</v>
      </c>
      <c r="H93" s="1">
        <v>3</v>
      </c>
      <c r="I93" s="1">
        <v>5</v>
      </c>
      <c r="J93" s="1" t="s">
        <v>19</v>
      </c>
      <c r="K93" s="1">
        <v>14</v>
      </c>
      <c r="L93" s="1" t="s">
        <v>19</v>
      </c>
      <c r="M93" s="1" t="s">
        <v>26</v>
      </c>
      <c r="N93" s="1">
        <v>10</v>
      </c>
      <c r="O93" s="3" t="s">
        <v>31</v>
      </c>
    </row>
    <row r="94" spans="1:15" x14ac:dyDescent="0.25">
      <c r="A94" s="2" t="s">
        <v>131</v>
      </c>
      <c r="B94" s="1">
        <v>40</v>
      </c>
      <c r="C94" s="1" t="s">
        <v>28</v>
      </c>
      <c r="D94" s="1" t="s">
        <v>17</v>
      </c>
      <c r="E94" s="1" t="s">
        <v>35</v>
      </c>
      <c r="F94" s="1">
        <v>25972</v>
      </c>
      <c r="G94" s="1">
        <v>4</v>
      </c>
      <c r="H94" s="1">
        <v>4</v>
      </c>
      <c r="I94" s="1">
        <v>4</v>
      </c>
      <c r="J94" s="1" t="s">
        <v>19</v>
      </c>
      <c r="K94" s="1">
        <v>15</v>
      </c>
      <c r="L94" s="1" t="s">
        <v>20</v>
      </c>
      <c r="M94" s="1" t="s">
        <v>21</v>
      </c>
      <c r="N94" s="1">
        <v>15</v>
      </c>
      <c r="O94" s="3" t="s">
        <v>36</v>
      </c>
    </row>
    <row r="95" spans="1:15" x14ac:dyDescent="0.25">
      <c r="A95" s="2" t="s">
        <v>132</v>
      </c>
      <c r="B95" s="1">
        <v>30</v>
      </c>
      <c r="C95" s="1" t="s">
        <v>16</v>
      </c>
      <c r="D95" s="1" t="s">
        <v>51</v>
      </c>
      <c r="E95" s="1" t="s">
        <v>18</v>
      </c>
      <c r="F95" s="1">
        <v>99830</v>
      </c>
      <c r="G95" s="1">
        <v>5</v>
      </c>
      <c r="H95" s="1">
        <v>5</v>
      </c>
      <c r="I95" s="1">
        <v>3</v>
      </c>
      <c r="J95" s="1" t="s">
        <v>20</v>
      </c>
      <c r="K95" s="1">
        <v>19</v>
      </c>
      <c r="L95" s="1" t="s">
        <v>20</v>
      </c>
      <c r="M95" s="1" t="s">
        <v>30</v>
      </c>
      <c r="N95" s="1">
        <v>69</v>
      </c>
      <c r="O95" s="3" t="s">
        <v>31</v>
      </c>
    </row>
    <row r="96" spans="1:15" x14ac:dyDescent="0.25">
      <c r="A96" s="2" t="s">
        <v>133</v>
      </c>
      <c r="B96" s="1">
        <v>48</v>
      </c>
      <c r="C96" s="1" t="s">
        <v>16</v>
      </c>
      <c r="D96" s="1" t="s">
        <v>17</v>
      </c>
      <c r="E96" s="1" t="s">
        <v>35</v>
      </c>
      <c r="F96" s="1">
        <v>103814</v>
      </c>
      <c r="G96" s="1">
        <v>5</v>
      </c>
      <c r="H96" s="1">
        <v>2</v>
      </c>
      <c r="I96" s="1">
        <v>4</v>
      </c>
      <c r="J96" s="1" t="s">
        <v>20</v>
      </c>
      <c r="K96" s="1">
        <v>7</v>
      </c>
      <c r="L96" s="1" t="s">
        <v>20</v>
      </c>
      <c r="M96" s="1" t="s">
        <v>30</v>
      </c>
      <c r="N96" s="1">
        <v>63</v>
      </c>
      <c r="O96" s="3" t="s">
        <v>42</v>
      </c>
    </row>
    <row r="97" spans="1:15" x14ac:dyDescent="0.25">
      <c r="A97" s="2" t="s">
        <v>134</v>
      </c>
      <c r="B97" s="1">
        <v>47</v>
      </c>
      <c r="C97" s="1" t="s">
        <v>16</v>
      </c>
      <c r="D97" s="1" t="s">
        <v>29</v>
      </c>
      <c r="E97" s="1" t="s">
        <v>33</v>
      </c>
      <c r="F97" s="1">
        <v>58963</v>
      </c>
      <c r="G97" s="1">
        <v>3</v>
      </c>
      <c r="H97" s="1">
        <v>3</v>
      </c>
      <c r="I97" s="1">
        <v>2</v>
      </c>
      <c r="J97" s="1" t="s">
        <v>20</v>
      </c>
      <c r="K97" s="1">
        <v>2</v>
      </c>
      <c r="L97" s="1" t="s">
        <v>19</v>
      </c>
      <c r="M97" s="1" t="s">
        <v>21</v>
      </c>
      <c r="N97" s="1">
        <v>16</v>
      </c>
      <c r="O97" s="3" t="s">
        <v>42</v>
      </c>
    </row>
    <row r="98" spans="1:15" x14ac:dyDescent="0.25">
      <c r="A98" s="2" t="s">
        <v>135</v>
      </c>
      <c r="B98" s="1">
        <v>27</v>
      </c>
      <c r="C98" s="1" t="s">
        <v>28</v>
      </c>
      <c r="D98" s="1" t="s">
        <v>51</v>
      </c>
      <c r="E98" s="1" t="s">
        <v>25</v>
      </c>
      <c r="F98" s="1">
        <v>25861</v>
      </c>
      <c r="G98" s="1">
        <v>5</v>
      </c>
      <c r="H98" s="1">
        <v>5</v>
      </c>
      <c r="I98" s="1">
        <v>5</v>
      </c>
      <c r="J98" s="1" t="s">
        <v>20</v>
      </c>
      <c r="K98" s="1">
        <v>3</v>
      </c>
      <c r="L98" s="1" t="s">
        <v>20</v>
      </c>
      <c r="M98" s="1" t="s">
        <v>30</v>
      </c>
      <c r="N98" s="1">
        <v>59</v>
      </c>
      <c r="O98" s="3" t="s">
        <v>22</v>
      </c>
    </row>
    <row r="99" spans="1:15" x14ac:dyDescent="0.25">
      <c r="A99" s="2" t="s">
        <v>136</v>
      </c>
      <c r="B99" s="1">
        <v>39</v>
      </c>
      <c r="C99" s="1" t="s">
        <v>28</v>
      </c>
      <c r="D99" s="1" t="s">
        <v>29</v>
      </c>
      <c r="E99" s="1" t="s">
        <v>35</v>
      </c>
      <c r="F99" s="1">
        <v>93748</v>
      </c>
      <c r="G99" s="1">
        <v>5</v>
      </c>
      <c r="H99" s="1">
        <v>2</v>
      </c>
      <c r="I99" s="1">
        <v>2</v>
      </c>
      <c r="J99" s="1" t="s">
        <v>20</v>
      </c>
      <c r="K99" s="1">
        <v>7</v>
      </c>
      <c r="L99" s="1" t="s">
        <v>19</v>
      </c>
      <c r="M99" s="1" t="s">
        <v>30</v>
      </c>
      <c r="N99" s="1">
        <v>76</v>
      </c>
      <c r="O99" s="3" t="s">
        <v>36</v>
      </c>
    </row>
    <row r="100" spans="1:15" x14ac:dyDescent="0.25">
      <c r="A100" s="2" t="s">
        <v>137</v>
      </c>
      <c r="B100" s="1">
        <v>28</v>
      </c>
      <c r="C100" s="1" t="s">
        <v>28</v>
      </c>
      <c r="D100" s="1" t="s">
        <v>24</v>
      </c>
      <c r="E100" s="1" t="s">
        <v>41</v>
      </c>
      <c r="F100" s="1">
        <v>74244</v>
      </c>
      <c r="G100" s="1">
        <v>5</v>
      </c>
      <c r="H100" s="1">
        <v>5</v>
      </c>
      <c r="I100" s="1">
        <v>5</v>
      </c>
      <c r="J100" s="1" t="s">
        <v>19</v>
      </c>
      <c r="K100" s="1">
        <v>19</v>
      </c>
      <c r="L100" s="1" t="s">
        <v>20</v>
      </c>
      <c r="M100" s="1" t="s">
        <v>21</v>
      </c>
      <c r="N100" s="1">
        <v>28</v>
      </c>
      <c r="O100" s="3" t="s">
        <v>36</v>
      </c>
    </row>
    <row r="101" spans="1:15" x14ac:dyDescent="0.25">
      <c r="A101" s="2" t="s">
        <v>138</v>
      </c>
      <c r="B101" s="1">
        <v>40</v>
      </c>
      <c r="C101" s="1" t="s">
        <v>28</v>
      </c>
      <c r="D101" s="1" t="s">
        <v>29</v>
      </c>
      <c r="E101" s="1" t="s">
        <v>35</v>
      </c>
      <c r="F101" s="1"/>
      <c r="G101" s="1">
        <v>2</v>
      </c>
      <c r="H101" s="1">
        <v>5</v>
      </c>
      <c r="I101" s="1">
        <v>4</v>
      </c>
      <c r="J101" s="1" t="s">
        <v>19</v>
      </c>
      <c r="K101" s="1">
        <v>4</v>
      </c>
      <c r="L101" s="1" t="s">
        <v>19</v>
      </c>
      <c r="M101" s="1" t="s">
        <v>21</v>
      </c>
      <c r="N101" s="1">
        <v>72</v>
      </c>
      <c r="O101" s="3" t="s">
        <v>44</v>
      </c>
    </row>
    <row r="102" spans="1:15" x14ac:dyDescent="0.25">
      <c r="A102" s="2" t="s">
        <v>139</v>
      </c>
      <c r="B102" s="1">
        <v>45</v>
      </c>
      <c r="C102" s="1" t="s">
        <v>28</v>
      </c>
      <c r="D102" s="1" t="s">
        <v>49</v>
      </c>
      <c r="E102" s="1" t="s">
        <v>18</v>
      </c>
      <c r="F102" s="1">
        <v>38631</v>
      </c>
      <c r="G102" s="1">
        <v>3</v>
      </c>
      <c r="H102" s="1">
        <v>3</v>
      </c>
      <c r="I102" s="1">
        <v>3</v>
      </c>
      <c r="J102" s="1" t="s">
        <v>19</v>
      </c>
      <c r="K102" s="1">
        <v>1</v>
      </c>
      <c r="L102" s="1" t="s">
        <v>19</v>
      </c>
      <c r="M102" s="1" t="s">
        <v>21</v>
      </c>
      <c r="N102" s="1">
        <v>11</v>
      </c>
      <c r="O102" s="3" t="s">
        <v>22</v>
      </c>
    </row>
    <row r="103" spans="1:15" x14ac:dyDescent="0.25">
      <c r="A103" s="2" t="s">
        <v>140</v>
      </c>
      <c r="B103" s="1">
        <v>38</v>
      </c>
      <c r="C103" s="1" t="s">
        <v>28</v>
      </c>
      <c r="D103" s="1" t="s">
        <v>17</v>
      </c>
      <c r="E103" s="1" t="s">
        <v>33</v>
      </c>
      <c r="F103" s="1">
        <v>81656</v>
      </c>
      <c r="G103" s="1">
        <v>5</v>
      </c>
      <c r="H103" s="1">
        <v>4</v>
      </c>
      <c r="I103" s="1">
        <v>4</v>
      </c>
      <c r="J103" s="1" t="s">
        <v>20</v>
      </c>
      <c r="K103" s="1">
        <v>6</v>
      </c>
      <c r="L103" s="1" t="s">
        <v>19</v>
      </c>
      <c r="M103" s="1" t="s">
        <v>30</v>
      </c>
      <c r="N103" s="1">
        <v>60</v>
      </c>
      <c r="O103" s="3" t="s">
        <v>22</v>
      </c>
    </row>
    <row r="104" spans="1:15" x14ac:dyDescent="0.25">
      <c r="A104" s="2" t="s">
        <v>141</v>
      </c>
      <c r="B104" s="1">
        <v>39</v>
      </c>
      <c r="C104" s="1" t="s">
        <v>28</v>
      </c>
      <c r="D104" s="1" t="s">
        <v>24</v>
      </c>
      <c r="E104" s="1" t="s">
        <v>38</v>
      </c>
      <c r="F104" s="1">
        <v>58425</v>
      </c>
      <c r="G104" s="1">
        <v>1</v>
      </c>
      <c r="H104" s="1">
        <v>2</v>
      </c>
      <c r="I104" s="1">
        <v>4</v>
      </c>
      <c r="J104" s="1" t="s">
        <v>19</v>
      </c>
      <c r="K104" s="1">
        <v>0</v>
      </c>
      <c r="L104" s="1" t="s">
        <v>19</v>
      </c>
      <c r="M104" s="1" t="s">
        <v>30</v>
      </c>
      <c r="N104" s="1">
        <v>32</v>
      </c>
      <c r="O104" s="3" t="s">
        <v>44</v>
      </c>
    </row>
    <row r="105" spans="1:15" x14ac:dyDescent="0.25">
      <c r="A105" s="2" t="s">
        <v>142</v>
      </c>
      <c r="B105" s="1">
        <v>37</v>
      </c>
      <c r="C105" s="1" t="s">
        <v>28</v>
      </c>
      <c r="D105" s="1" t="s">
        <v>29</v>
      </c>
      <c r="E105" s="1" t="s">
        <v>35</v>
      </c>
      <c r="F105" s="1"/>
      <c r="G105" s="1">
        <v>4</v>
      </c>
      <c r="H105" s="1">
        <v>4</v>
      </c>
      <c r="I105" s="1">
        <v>2</v>
      </c>
      <c r="J105" s="1" t="s">
        <v>19</v>
      </c>
      <c r="K105" s="1">
        <v>12</v>
      </c>
      <c r="L105" s="1" t="s">
        <v>19</v>
      </c>
      <c r="M105" s="1" t="s">
        <v>26</v>
      </c>
      <c r="N105" s="1">
        <v>76</v>
      </c>
      <c r="O105" s="3" t="s">
        <v>36</v>
      </c>
    </row>
    <row r="106" spans="1:15" x14ac:dyDescent="0.25">
      <c r="A106" s="2" t="s">
        <v>143</v>
      </c>
      <c r="B106" s="1">
        <v>25</v>
      </c>
      <c r="C106" s="1" t="s">
        <v>28</v>
      </c>
      <c r="D106" s="1" t="s">
        <v>17</v>
      </c>
      <c r="E106" s="1" t="s">
        <v>35</v>
      </c>
      <c r="F106" s="1">
        <v>75176</v>
      </c>
      <c r="G106" s="1">
        <v>1</v>
      </c>
      <c r="H106" s="1">
        <v>4</v>
      </c>
      <c r="I106" s="1">
        <v>1</v>
      </c>
      <c r="J106" s="1" t="s">
        <v>20</v>
      </c>
      <c r="K106" s="1">
        <v>18</v>
      </c>
      <c r="L106" s="1" t="s">
        <v>20</v>
      </c>
      <c r="M106" s="1" t="s">
        <v>26</v>
      </c>
      <c r="N106" s="1">
        <v>56</v>
      </c>
      <c r="O106" s="3" t="s">
        <v>42</v>
      </c>
    </row>
    <row r="107" spans="1:15" x14ac:dyDescent="0.25">
      <c r="A107" s="2" t="s">
        <v>144</v>
      </c>
      <c r="B107" s="1">
        <v>39</v>
      </c>
      <c r="C107" s="1" t="s">
        <v>16</v>
      </c>
      <c r="D107" s="1" t="s">
        <v>49</v>
      </c>
      <c r="E107" s="1" t="s">
        <v>35</v>
      </c>
      <c r="F107" s="1">
        <v>60568</v>
      </c>
      <c r="G107" s="1">
        <v>2</v>
      </c>
      <c r="H107" s="1">
        <v>5</v>
      </c>
      <c r="I107" s="1">
        <v>4</v>
      </c>
      <c r="J107" s="1" t="s">
        <v>20</v>
      </c>
      <c r="K107" s="1">
        <v>2</v>
      </c>
      <c r="L107" s="1" t="s">
        <v>20</v>
      </c>
      <c r="M107" s="1" t="s">
        <v>21</v>
      </c>
      <c r="N107" s="1">
        <v>36</v>
      </c>
      <c r="O107" s="3" t="s">
        <v>42</v>
      </c>
    </row>
    <row r="108" spans="1:15" x14ac:dyDescent="0.25">
      <c r="A108" s="2" t="s">
        <v>145</v>
      </c>
      <c r="B108" s="1">
        <v>58</v>
      </c>
      <c r="C108" s="1" t="s">
        <v>28</v>
      </c>
      <c r="D108" s="1" t="s">
        <v>24</v>
      </c>
      <c r="E108" s="1" t="s">
        <v>35</v>
      </c>
      <c r="F108" s="1">
        <v>69873</v>
      </c>
      <c r="G108" s="1">
        <v>3</v>
      </c>
      <c r="H108" s="1">
        <v>3</v>
      </c>
      <c r="I108" s="1">
        <v>2</v>
      </c>
      <c r="J108" s="1" t="s">
        <v>20</v>
      </c>
      <c r="K108" s="1">
        <v>5</v>
      </c>
      <c r="L108" s="1" t="s">
        <v>19</v>
      </c>
      <c r="M108" s="1" t="s">
        <v>26</v>
      </c>
      <c r="N108" s="1">
        <v>19</v>
      </c>
      <c r="O108" s="3" t="s">
        <v>31</v>
      </c>
    </row>
    <row r="109" spans="1:15" x14ac:dyDescent="0.25">
      <c r="A109" s="2" t="s">
        <v>146</v>
      </c>
      <c r="B109" s="1">
        <v>53</v>
      </c>
      <c r="C109" s="1" t="s">
        <v>16</v>
      </c>
      <c r="D109" s="1" t="s">
        <v>29</v>
      </c>
      <c r="E109" s="1" t="s">
        <v>18</v>
      </c>
      <c r="F109" s="1">
        <v>113339</v>
      </c>
      <c r="G109" s="1">
        <v>2</v>
      </c>
      <c r="H109" s="1">
        <v>2</v>
      </c>
      <c r="I109" s="1">
        <v>1</v>
      </c>
      <c r="J109" s="1" t="s">
        <v>19</v>
      </c>
      <c r="K109" s="1">
        <v>8</v>
      </c>
      <c r="L109" s="1" t="s">
        <v>19</v>
      </c>
      <c r="M109" s="1" t="s">
        <v>21</v>
      </c>
      <c r="N109" s="1">
        <v>24</v>
      </c>
      <c r="O109" s="3" t="s">
        <v>22</v>
      </c>
    </row>
    <row r="110" spans="1:15" x14ac:dyDescent="0.25">
      <c r="A110" s="2" t="s">
        <v>147</v>
      </c>
      <c r="B110" s="1">
        <v>32</v>
      </c>
      <c r="C110" s="1" t="s">
        <v>28</v>
      </c>
      <c r="D110" s="1" t="s">
        <v>49</v>
      </c>
      <c r="E110" s="1" t="s">
        <v>25</v>
      </c>
      <c r="F110" s="1">
        <v>117598</v>
      </c>
      <c r="G110" s="1">
        <v>5</v>
      </c>
      <c r="H110" s="1">
        <v>4</v>
      </c>
      <c r="I110" s="1">
        <v>5</v>
      </c>
      <c r="J110" s="1" t="s">
        <v>20</v>
      </c>
      <c r="K110" s="1">
        <v>20</v>
      </c>
      <c r="L110" s="1" t="s">
        <v>20</v>
      </c>
      <c r="M110" s="1" t="s">
        <v>21</v>
      </c>
      <c r="N110" s="1">
        <v>61</v>
      </c>
      <c r="O110" s="3" t="s">
        <v>22</v>
      </c>
    </row>
    <row r="111" spans="1:15" x14ac:dyDescent="0.25">
      <c r="A111" s="2" t="s">
        <v>148</v>
      </c>
      <c r="B111" s="1">
        <v>51</v>
      </c>
      <c r="C111" s="1" t="s">
        <v>28</v>
      </c>
      <c r="D111" s="1" t="s">
        <v>17</v>
      </c>
      <c r="E111" s="1" t="s">
        <v>18</v>
      </c>
      <c r="F111" s="1">
        <v>54002</v>
      </c>
      <c r="G111" s="1">
        <v>5</v>
      </c>
      <c r="H111" s="1">
        <v>1</v>
      </c>
      <c r="I111" s="1">
        <v>3</v>
      </c>
      <c r="J111" s="1" t="s">
        <v>19</v>
      </c>
      <c r="K111" s="1">
        <v>9</v>
      </c>
      <c r="L111" s="1" t="s">
        <v>20</v>
      </c>
      <c r="M111" s="1" t="s">
        <v>30</v>
      </c>
      <c r="N111" s="1">
        <v>9</v>
      </c>
      <c r="O111" s="3" t="s">
        <v>22</v>
      </c>
    </row>
    <row r="112" spans="1:15" x14ac:dyDescent="0.25">
      <c r="A112" s="2" t="s">
        <v>149</v>
      </c>
      <c r="B112" s="1"/>
      <c r="C112" s="1" t="s">
        <v>28</v>
      </c>
      <c r="D112" s="1" t="s">
        <v>40</v>
      </c>
      <c r="E112" s="1" t="s">
        <v>38</v>
      </c>
      <c r="F112" s="1"/>
      <c r="G112" s="1">
        <v>5</v>
      </c>
      <c r="H112" s="1">
        <v>5</v>
      </c>
      <c r="I112" s="1">
        <v>5</v>
      </c>
      <c r="J112" s="1" t="s">
        <v>20</v>
      </c>
      <c r="K112" s="1">
        <v>14</v>
      </c>
      <c r="L112" s="1" t="s">
        <v>19</v>
      </c>
      <c r="M112" s="1" t="s">
        <v>30</v>
      </c>
      <c r="N112" s="1">
        <v>78</v>
      </c>
      <c r="O112" s="3" t="s">
        <v>44</v>
      </c>
    </row>
    <row r="113" spans="1:15" x14ac:dyDescent="0.25">
      <c r="A113" s="2" t="s">
        <v>150</v>
      </c>
      <c r="B113" s="1">
        <v>41</v>
      </c>
      <c r="C113" s="1" t="s">
        <v>28</v>
      </c>
      <c r="D113" s="1" t="s">
        <v>24</v>
      </c>
      <c r="E113" s="1" t="s">
        <v>41</v>
      </c>
      <c r="F113" s="1">
        <v>26109</v>
      </c>
      <c r="G113" s="1">
        <v>4</v>
      </c>
      <c r="H113" s="1">
        <v>1</v>
      </c>
      <c r="I113" s="1">
        <v>3</v>
      </c>
      <c r="J113" s="1" t="s">
        <v>19</v>
      </c>
      <c r="K113" s="1">
        <v>16</v>
      </c>
      <c r="L113" s="1" t="s">
        <v>19</v>
      </c>
      <c r="M113" s="1" t="s">
        <v>21</v>
      </c>
      <c r="N113" s="1">
        <v>36</v>
      </c>
      <c r="O113" s="3" t="s">
        <v>42</v>
      </c>
    </row>
    <row r="114" spans="1:15" x14ac:dyDescent="0.25">
      <c r="A114" s="2" t="s">
        <v>151</v>
      </c>
      <c r="B114" s="1">
        <v>49</v>
      </c>
      <c r="C114" s="1" t="s">
        <v>16</v>
      </c>
      <c r="D114" s="1" t="s">
        <v>29</v>
      </c>
      <c r="E114" s="1" t="s">
        <v>18</v>
      </c>
      <c r="F114" s="1">
        <v>55079</v>
      </c>
      <c r="G114" s="1"/>
      <c r="H114" s="1">
        <v>4</v>
      </c>
      <c r="I114" s="1">
        <v>3</v>
      </c>
      <c r="J114" s="1" t="s">
        <v>19</v>
      </c>
      <c r="K114" s="1">
        <v>20</v>
      </c>
      <c r="L114" s="1" t="s">
        <v>20</v>
      </c>
      <c r="M114" s="1" t="s">
        <v>21</v>
      </c>
      <c r="N114" s="1">
        <v>47</v>
      </c>
      <c r="O114" s="3" t="s">
        <v>22</v>
      </c>
    </row>
    <row r="115" spans="1:15" x14ac:dyDescent="0.25">
      <c r="A115" s="2" t="s">
        <v>152</v>
      </c>
      <c r="B115" s="1">
        <v>56</v>
      </c>
      <c r="C115" s="1" t="s">
        <v>28</v>
      </c>
      <c r="D115" s="1" t="s">
        <v>29</v>
      </c>
      <c r="E115" s="1" t="s">
        <v>18</v>
      </c>
      <c r="F115" s="1">
        <v>112861</v>
      </c>
      <c r="G115" s="1">
        <v>5</v>
      </c>
      <c r="H115" s="1">
        <v>2</v>
      </c>
      <c r="I115" s="1"/>
      <c r="J115" s="1" t="s">
        <v>19</v>
      </c>
      <c r="K115" s="1">
        <v>18</v>
      </c>
      <c r="L115" s="1" t="s">
        <v>19</v>
      </c>
      <c r="M115" s="1" t="s">
        <v>30</v>
      </c>
      <c r="N115" s="1">
        <v>44</v>
      </c>
      <c r="O115" s="3" t="s">
        <v>42</v>
      </c>
    </row>
    <row r="116" spans="1:15" x14ac:dyDescent="0.25">
      <c r="A116" s="2" t="s">
        <v>153</v>
      </c>
      <c r="B116" s="1">
        <v>29</v>
      </c>
      <c r="C116" s="1" t="s">
        <v>16</v>
      </c>
      <c r="D116" s="1" t="s">
        <v>29</v>
      </c>
      <c r="E116" s="1" t="s">
        <v>25</v>
      </c>
      <c r="F116" s="1">
        <v>67372</v>
      </c>
      <c r="G116" s="1">
        <v>3</v>
      </c>
      <c r="H116" s="1">
        <v>2</v>
      </c>
      <c r="I116" s="1">
        <v>5</v>
      </c>
      <c r="J116" s="1" t="s">
        <v>19</v>
      </c>
      <c r="K116" s="1">
        <v>20</v>
      </c>
      <c r="L116" s="1" t="s">
        <v>20</v>
      </c>
      <c r="M116" s="1" t="s">
        <v>26</v>
      </c>
      <c r="N116" s="1">
        <v>51</v>
      </c>
      <c r="O116" s="3" t="s">
        <v>22</v>
      </c>
    </row>
    <row r="117" spans="1:15" x14ac:dyDescent="0.25">
      <c r="A117" s="2" t="s">
        <v>154</v>
      </c>
      <c r="B117" s="1">
        <v>44</v>
      </c>
      <c r="C117" s="1" t="s">
        <v>28</v>
      </c>
      <c r="D117" s="1" t="s">
        <v>51</v>
      </c>
      <c r="E117" s="1" t="s">
        <v>41</v>
      </c>
      <c r="F117" s="1">
        <v>62791</v>
      </c>
      <c r="G117" s="1">
        <v>4</v>
      </c>
      <c r="H117" s="1">
        <v>2</v>
      </c>
      <c r="I117" s="1">
        <v>2</v>
      </c>
      <c r="J117" s="1" t="s">
        <v>19</v>
      </c>
      <c r="K117" s="1">
        <v>4</v>
      </c>
      <c r="L117" s="1" t="s">
        <v>19</v>
      </c>
      <c r="M117" s="1" t="s">
        <v>30</v>
      </c>
      <c r="N117" s="1">
        <v>17</v>
      </c>
      <c r="O117" s="3" t="s">
        <v>31</v>
      </c>
    </row>
    <row r="118" spans="1:15" x14ac:dyDescent="0.25">
      <c r="A118" s="2" t="s">
        <v>155</v>
      </c>
      <c r="B118" s="1">
        <v>55</v>
      </c>
      <c r="C118" s="1" t="s">
        <v>16</v>
      </c>
      <c r="D118" s="1" t="s">
        <v>17</v>
      </c>
      <c r="E118" s="1" t="s">
        <v>18</v>
      </c>
      <c r="F118" s="1">
        <v>118441</v>
      </c>
      <c r="G118" s="1">
        <v>5</v>
      </c>
      <c r="H118" s="1">
        <v>2</v>
      </c>
      <c r="I118" s="1">
        <v>5</v>
      </c>
      <c r="J118" s="1" t="s">
        <v>20</v>
      </c>
      <c r="K118" s="1">
        <v>4</v>
      </c>
      <c r="L118" s="1" t="s">
        <v>19</v>
      </c>
      <c r="M118" s="1" t="s">
        <v>21</v>
      </c>
      <c r="N118" s="1">
        <v>26</v>
      </c>
      <c r="O118" s="3" t="s">
        <v>42</v>
      </c>
    </row>
    <row r="119" spans="1:15" x14ac:dyDescent="0.25">
      <c r="A119" s="2" t="s">
        <v>156</v>
      </c>
      <c r="B119" s="1"/>
      <c r="C119" s="1" t="s">
        <v>28</v>
      </c>
      <c r="D119" s="1" t="s">
        <v>29</v>
      </c>
      <c r="E119" s="1" t="s">
        <v>38</v>
      </c>
      <c r="F119" s="1">
        <v>112317</v>
      </c>
      <c r="G119" s="1">
        <v>2</v>
      </c>
      <c r="H119" s="1">
        <v>4</v>
      </c>
      <c r="I119" s="1">
        <v>5</v>
      </c>
      <c r="J119" s="1" t="s">
        <v>20</v>
      </c>
      <c r="K119" s="1">
        <v>14</v>
      </c>
      <c r="L119" s="1" t="s">
        <v>19</v>
      </c>
      <c r="M119" s="1" t="s">
        <v>26</v>
      </c>
      <c r="N119" s="1">
        <v>35</v>
      </c>
      <c r="O119" s="3" t="s">
        <v>36</v>
      </c>
    </row>
    <row r="120" spans="1:15" x14ac:dyDescent="0.25">
      <c r="A120" s="2" t="s">
        <v>157</v>
      </c>
      <c r="B120" s="1">
        <v>51</v>
      </c>
      <c r="C120" s="1" t="s">
        <v>16</v>
      </c>
      <c r="D120" s="1" t="s">
        <v>29</v>
      </c>
      <c r="E120" s="1" t="s">
        <v>38</v>
      </c>
      <c r="F120" s="1">
        <v>92766</v>
      </c>
      <c r="G120" s="1">
        <v>4</v>
      </c>
      <c r="H120" s="1">
        <v>4</v>
      </c>
      <c r="I120" s="1">
        <v>3</v>
      </c>
      <c r="J120" s="1" t="s">
        <v>20</v>
      </c>
      <c r="K120" s="1">
        <v>16</v>
      </c>
      <c r="L120" s="1" t="s">
        <v>20</v>
      </c>
      <c r="M120" s="1" t="s">
        <v>21</v>
      </c>
      <c r="N120" s="1">
        <v>30</v>
      </c>
      <c r="O120" s="3" t="s">
        <v>31</v>
      </c>
    </row>
    <row r="121" spans="1:15" x14ac:dyDescent="0.25">
      <c r="A121" s="2" t="s">
        <v>158</v>
      </c>
      <c r="B121" s="1">
        <v>29</v>
      </c>
      <c r="C121" s="1" t="s">
        <v>28</v>
      </c>
      <c r="D121" s="1" t="s">
        <v>40</v>
      </c>
      <c r="E121" s="1" t="s">
        <v>38</v>
      </c>
      <c r="F121" s="1">
        <v>80991</v>
      </c>
      <c r="G121" s="1">
        <v>3</v>
      </c>
      <c r="H121" s="1">
        <v>5</v>
      </c>
      <c r="I121" s="1">
        <v>1</v>
      </c>
      <c r="J121" s="1" t="s">
        <v>19</v>
      </c>
      <c r="K121" s="1">
        <v>9</v>
      </c>
      <c r="L121" s="1" t="s">
        <v>19</v>
      </c>
      <c r="M121" s="1" t="s">
        <v>21</v>
      </c>
      <c r="N121" s="1">
        <v>39</v>
      </c>
      <c r="O121" s="3" t="s">
        <v>42</v>
      </c>
    </row>
    <row r="122" spans="1:15" x14ac:dyDescent="0.25">
      <c r="A122" s="2" t="s">
        <v>159</v>
      </c>
      <c r="B122" s="1">
        <v>53</v>
      </c>
      <c r="C122" s="1" t="s">
        <v>16</v>
      </c>
      <c r="D122" s="1" t="s">
        <v>49</v>
      </c>
      <c r="E122" s="1" t="s">
        <v>35</v>
      </c>
      <c r="F122" s="1">
        <v>47102</v>
      </c>
      <c r="G122" s="1">
        <v>4</v>
      </c>
      <c r="H122" s="1">
        <v>3</v>
      </c>
      <c r="I122" s="1">
        <v>1</v>
      </c>
      <c r="J122" s="1" t="s">
        <v>20</v>
      </c>
      <c r="K122" s="1">
        <v>1</v>
      </c>
      <c r="L122" s="1" t="s">
        <v>20</v>
      </c>
      <c r="M122" s="1" t="s">
        <v>26</v>
      </c>
      <c r="N122" s="1">
        <v>52</v>
      </c>
      <c r="O122" s="3" t="s">
        <v>44</v>
      </c>
    </row>
    <row r="123" spans="1:15" x14ac:dyDescent="0.25">
      <c r="A123" s="2" t="s">
        <v>160</v>
      </c>
      <c r="B123" s="1">
        <v>45</v>
      </c>
      <c r="C123" s="1" t="s">
        <v>16</v>
      </c>
      <c r="D123" s="1" t="s">
        <v>29</v>
      </c>
      <c r="E123" s="1" t="s">
        <v>41</v>
      </c>
      <c r="F123" s="1">
        <v>21694</v>
      </c>
      <c r="G123" s="1">
        <v>3</v>
      </c>
      <c r="H123" s="1">
        <v>1</v>
      </c>
      <c r="I123" s="1">
        <v>3</v>
      </c>
      <c r="J123" s="1" t="s">
        <v>19</v>
      </c>
      <c r="K123" s="1">
        <v>4</v>
      </c>
      <c r="L123" s="1" t="s">
        <v>19</v>
      </c>
      <c r="M123" s="1" t="s">
        <v>30</v>
      </c>
      <c r="N123" s="1">
        <v>65</v>
      </c>
      <c r="O123" s="3" t="s">
        <v>44</v>
      </c>
    </row>
    <row r="124" spans="1:15" x14ac:dyDescent="0.25">
      <c r="A124" s="2" t="s">
        <v>161</v>
      </c>
      <c r="B124" s="1">
        <v>51</v>
      </c>
      <c r="C124" s="1" t="s">
        <v>28</v>
      </c>
      <c r="D124" s="1" t="s">
        <v>24</v>
      </c>
      <c r="E124" s="1" t="s">
        <v>35</v>
      </c>
      <c r="F124" s="1">
        <v>28384</v>
      </c>
      <c r="G124" s="1">
        <v>1</v>
      </c>
      <c r="H124" s="1">
        <v>3</v>
      </c>
      <c r="I124" s="1">
        <v>2</v>
      </c>
      <c r="J124" s="1" t="s">
        <v>19</v>
      </c>
      <c r="K124" s="1">
        <v>17</v>
      </c>
      <c r="L124" s="1" t="s">
        <v>20</v>
      </c>
      <c r="M124" s="1" t="s">
        <v>21</v>
      </c>
      <c r="N124" s="1">
        <v>41</v>
      </c>
      <c r="O124" s="3" t="s">
        <v>44</v>
      </c>
    </row>
    <row r="125" spans="1:15" x14ac:dyDescent="0.25">
      <c r="A125" s="2" t="s">
        <v>162</v>
      </c>
      <c r="B125" s="1">
        <v>40</v>
      </c>
      <c r="C125" s="1" t="s">
        <v>16</v>
      </c>
      <c r="D125" s="1" t="s">
        <v>40</v>
      </c>
      <c r="E125" s="1" t="s">
        <v>41</v>
      </c>
      <c r="F125" s="1">
        <v>73027</v>
      </c>
      <c r="G125" s="1">
        <v>5</v>
      </c>
      <c r="H125" s="1">
        <v>4</v>
      </c>
      <c r="I125" s="1">
        <v>1</v>
      </c>
      <c r="J125" s="1" t="s">
        <v>19</v>
      </c>
      <c r="K125" s="1">
        <v>15</v>
      </c>
      <c r="L125" s="1" t="s">
        <v>19</v>
      </c>
      <c r="M125" s="1" t="s">
        <v>26</v>
      </c>
      <c r="N125" s="1">
        <v>70</v>
      </c>
      <c r="O125" s="3" t="s">
        <v>31</v>
      </c>
    </row>
    <row r="126" spans="1:15" x14ac:dyDescent="0.25">
      <c r="A126" s="2" t="s">
        <v>163</v>
      </c>
      <c r="B126" s="1">
        <v>36</v>
      </c>
      <c r="C126" s="1" t="s">
        <v>16</v>
      </c>
      <c r="D126" s="1" t="s">
        <v>29</v>
      </c>
      <c r="E126" s="1" t="s">
        <v>33</v>
      </c>
      <c r="F126" s="1">
        <v>18205</v>
      </c>
      <c r="G126" s="1">
        <v>5</v>
      </c>
      <c r="H126" s="1">
        <v>3</v>
      </c>
      <c r="I126" s="1">
        <v>2</v>
      </c>
      <c r="J126" s="1" t="s">
        <v>20</v>
      </c>
      <c r="K126" s="1">
        <v>5</v>
      </c>
      <c r="L126" s="1" t="s">
        <v>19</v>
      </c>
      <c r="M126" s="1" t="s">
        <v>26</v>
      </c>
      <c r="N126" s="1">
        <v>51</v>
      </c>
      <c r="O126" s="3" t="s">
        <v>22</v>
      </c>
    </row>
    <row r="127" spans="1:15" x14ac:dyDescent="0.25">
      <c r="A127" s="2" t="s">
        <v>164</v>
      </c>
      <c r="B127" s="1">
        <v>54</v>
      </c>
      <c r="C127" s="1" t="s">
        <v>16</v>
      </c>
      <c r="D127" s="1" t="s">
        <v>49</v>
      </c>
      <c r="E127" s="1" t="s">
        <v>33</v>
      </c>
      <c r="F127" s="1">
        <v>23706</v>
      </c>
      <c r="G127" s="1">
        <v>4</v>
      </c>
      <c r="H127" s="1">
        <v>3</v>
      </c>
      <c r="I127" s="1">
        <v>3</v>
      </c>
      <c r="J127" s="1" t="s">
        <v>19</v>
      </c>
      <c r="K127" s="1">
        <v>11</v>
      </c>
      <c r="L127" s="1" t="s">
        <v>19</v>
      </c>
      <c r="M127" s="1" t="s">
        <v>30</v>
      </c>
      <c r="N127" s="1">
        <v>35</v>
      </c>
      <c r="O127" s="3" t="s">
        <v>22</v>
      </c>
    </row>
    <row r="128" spans="1:15" x14ac:dyDescent="0.25">
      <c r="A128" s="2" t="s">
        <v>165</v>
      </c>
      <c r="B128" s="1">
        <v>58</v>
      </c>
      <c r="C128" s="1" t="s">
        <v>28</v>
      </c>
      <c r="D128" s="1" t="s">
        <v>51</v>
      </c>
      <c r="E128" s="1" t="s">
        <v>35</v>
      </c>
      <c r="F128" s="1">
        <v>64176</v>
      </c>
      <c r="G128" s="1">
        <v>5</v>
      </c>
      <c r="H128" s="1">
        <v>3</v>
      </c>
      <c r="I128" s="1"/>
      <c r="J128" s="1" t="s">
        <v>20</v>
      </c>
      <c r="K128" s="1">
        <v>15</v>
      </c>
      <c r="L128" s="1" t="s">
        <v>19</v>
      </c>
      <c r="M128" s="1" t="s">
        <v>21</v>
      </c>
      <c r="N128" s="1">
        <v>13</v>
      </c>
      <c r="O128" s="3" t="s">
        <v>42</v>
      </c>
    </row>
    <row r="129" spans="1:15" x14ac:dyDescent="0.25">
      <c r="A129" s="2" t="s">
        <v>166</v>
      </c>
      <c r="B129" s="1">
        <v>23</v>
      </c>
      <c r="C129" s="1" t="s">
        <v>28</v>
      </c>
      <c r="D129" s="1" t="s">
        <v>51</v>
      </c>
      <c r="E129" s="1" t="s">
        <v>35</v>
      </c>
      <c r="F129" s="1">
        <v>44144</v>
      </c>
      <c r="G129" s="1">
        <v>1</v>
      </c>
      <c r="H129" s="1">
        <v>3</v>
      </c>
      <c r="I129" s="1">
        <v>3</v>
      </c>
      <c r="J129" s="1" t="s">
        <v>20</v>
      </c>
      <c r="K129" s="1">
        <v>17</v>
      </c>
      <c r="L129" s="1" t="s">
        <v>20</v>
      </c>
      <c r="M129" s="1" t="s">
        <v>30</v>
      </c>
      <c r="N129" s="1">
        <v>9</v>
      </c>
      <c r="O129" s="3" t="s">
        <v>44</v>
      </c>
    </row>
    <row r="130" spans="1:15" x14ac:dyDescent="0.25">
      <c r="A130" s="2" t="s">
        <v>167</v>
      </c>
      <c r="B130" s="1">
        <v>39</v>
      </c>
      <c r="C130" s="1" t="s">
        <v>28</v>
      </c>
      <c r="D130" s="1" t="s">
        <v>40</v>
      </c>
      <c r="E130" s="1" t="s">
        <v>38</v>
      </c>
      <c r="F130" s="1">
        <v>61506</v>
      </c>
      <c r="G130" s="1">
        <v>3</v>
      </c>
      <c r="H130" s="1">
        <v>1</v>
      </c>
      <c r="I130" s="1">
        <v>3</v>
      </c>
      <c r="J130" s="1" t="s">
        <v>20</v>
      </c>
      <c r="K130" s="1">
        <v>12</v>
      </c>
      <c r="L130" s="1" t="s">
        <v>20</v>
      </c>
      <c r="M130" s="1" t="s">
        <v>30</v>
      </c>
      <c r="N130" s="1">
        <v>48</v>
      </c>
      <c r="O130" s="3" t="s">
        <v>44</v>
      </c>
    </row>
    <row r="131" spans="1:15" x14ac:dyDescent="0.25">
      <c r="A131" s="2" t="s">
        <v>168</v>
      </c>
      <c r="B131" s="1">
        <v>52</v>
      </c>
      <c r="C131" s="1" t="s">
        <v>28</v>
      </c>
      <c r="D131" s="1" t="s">
        <v>29</v>
      </c>
      <c r="E131" s="1" t="s">
        <v>25</v>
      </c>
      <c r="F131" s="1">
        <v>52959</v>
      </c>
      <c r="G131" s="1">
        <v>1</v>
      </c>
      <c r="H131" s="1">
        <v>4</v>
      </c>
      <c r="I131" s="1">
        <v>1</v>
      </c>
      <c r="J131" s="1" t="s">
        <v>20</v>
      </c>
      <c r="K131" s="1">
        <v>19</v>
      </c>
      <c r="L131" s="1" t="s">
        <v>19</v>
      </c>
      <c r="M131" s="1" t="s">
        <v>26</v>
      </c>
      <c r="N131" s="1">
        <v>42</v>
      </c>
      <c r="O131" s="3" t="s">
        <v>36</v>
      </c>
    </row>
    <row r="132" spans="1:15" x14ac:dyDescent="0.25">
      <c r="A132" s="2" t="s">
        <v>169</v>
      </c>
      <c r="B132" s="1">
        <v>27</v>
      </c>
      <c r="C132" s="1" t="s">
        <v>16</v>
      </c>
      <c r="D132" s="1" t="s">
        <v>29</v>
      </c>
      <c r="E132" s="1" t="s">
        <v>38</v>
      </c>
      <c r="F132" s="1">
        <v>56750</v>
      </c>
      <c r="G132" s="1">
        <v>3</v>
      </c>
      <c r="H132" s="1">
        <v>4</v>
      </c>
      <c r="I132" s="1">
        <v>5</v>
      </c>
      <c r="J132" s="1" t="s">
        <v>20</v>
      </c>
      <c r="K132" s="1">
        <v>5</v>
      </c>
      <c r="L132" s="1" t="s">
        <v>20</v>
      </c>
      <c r="M132" s="1" t="s">
        <v>30</v>
      </c>
      <c r="N132" s="1">
        <v>62</v>
      </c>
      <c r="O132" s="3" t="s">
        <v>22</v>
      </c>
    </row>
    <row r="133" spans="1:15" x14ac:dyDescent="0.25">
      <c r="A133" s="2" t="s">
        <v>170</v>
      </c>
      <c r="B133" s="1">
        <v>43</v>
      </c>
      <c r="C133" s="1" t="s">
        <v>28</v>
      </c>
      <c r="D133" s="1" t="s">
        <v>29</v>
      </c>
      <c r="E133" s="1" t="s">
        <v>38</v>
      </c>
      <c r="F133" s="1">
        <v>25518</v>
      </c>
      <c r="G133" s="1">
        <v>1</v>
      </c>
      <c r="H133" s="1">
        <v>4</v>
      </c>
      <c r="I133" s="1">
        <v>3</v>
      </c>
      <c r="J133" s="1" t="s">
        <v>19</v>
      </c>
      <c r="K133" s="1">
        <v>0</v>
      </c>
      <c r="L133" s="1" t="s">
        <v>19</v>
      </c>
      <c r="M133" s="1" t="s">
        <v>26</v>
      </c>
      <c r="N133" s="1">
        <v>61</v>
      </c>
      <c r="O133" s="3" t="s">
        <v>22</v>
      </c>
    </row>
    <row r="134" spans="1:15" x14ac:dyDescent="0.25">
      <c r="A134" s="2" t="s">
        <v>171</v>
      </c>
      <c r="B134" s="1">
        <v>29</v>
      </c>
      <c r="C134" s="1" t="s">
        <v>16</v>
      </c>
      <c r="D134" s="1" t="s">
        <v>51</v>
      </c>
      <c r="E134" s="1" t="s">
        <v>38</v>
      </c>
      <c r="F134" s="1">
        <v>66015</v>
      </c>
      <c r="G134" s="1">
        <v>3</v>
      </c>
      <c r="H134" s="1">
        <v>4</v>
      </c>
      <c r="I134" s="1">
        <v>5</v>
      </c>
      <c r="J134" s="1" t="s">
        <v>19</v>
      </c>
      <c r="K134" s="1">
        <v>19</v>
      </c>
      <c r="L134" s="1" t="s">
        <v>19</v>
      </c>
      <c r="M134" s="1" t="s">
        <v>26</v>
      </c>
      <c r="N134" s="1">
        <v>62</v>
      </c>
      <c r="O134" s="3" t="s">
        <v>36</v>
      </c>
    </row>
    <row r="135" spans="1:15" x14ac:dyDescent="0.25">
      <c r="A135" s="2" t="s">
        <v>172</v>
      </c>
      <c r="B135" s="1">
        <v>44</v>
      </c>
      <c r="C135" s="1" t="s">
        <v>28</v>
      </c>
      <c r="D135" s="1" t="s">
        <v>40</v>
      </c>
      <c r="E135" s="1" t="s">
        <v>25</v>
      </c>
      <c r="F135" s="1">
        <v>36047</v>
      </c>
      <c r="G135" s="1">
        <v>5</v>
      </c>
      <c r="H135" s="1">
        <v>3</v>
      </c>
      <c r="I135" s="1">
        <v>4</v>
      </c>
      <c r="J135" s="1" t="s">
        <v>20</v>
      </c>
      <c r="K135" s="1">
        <v>20</v>
      </c>
      <c r="L135" s="1" t="s">
        <v>20</v>
      </c>
      <c r="M135" s="1" t="s">
        <v>21</v>
      </c>
      <c r="N135" s="1">
        <v>19</v>
      </c>
      <c r="O135" s="3" t="s">
        <v>22</v>
      </c>
    </row>
    <row r="136" spans="1:15" x14ac:dyDescent="0.25">
      <c r="A136" s="2" t="s">
        <v>173</v>
      </c>
      <c r="B136" s="1">
        <v>32</v>
      </c>
      <c r="C136" s="1" t="s">
        <v>28</v>
      </c>
      <c r="D136" s="1" t="s">
        <v>24</v>
      </c>
      <c r="E136" s="1" t="s">
        <v>33</v>
      </c>
      <c r="F136" s="1">
        <v>91619</v>
      </c>
      <c r="G136" s="1">
        <v>1</v>
      </c>
      <c r="H136" s="1">
        <v>3</v>
      </c>
      <c r="I136" s="1">
        <v>3</v>
      </c>
      <c r="J136" s="1" t="s">
        <v>20</v>
      </c>
      <c r="K136" s="1">
        <v>6</v>
      </c>
      <c r="L136" s="1" t="s">
        <v>20</v>
      </c>
      <c r="M136" s="1" t="s">
        <v>26</v>
      </c>
      <c r="N136" s="1">
        <v>67</v>
      </c>
      <c r="O136" s="3" t="s">
        <v>44</v>
      </c>
    </row>
    <row r="137" spans="1:15" x14ac:dyDescent="0.25">
      <c r="A137" s="2" t="s">
        <v>174</v>
      </c>
      <c r="B137" s="1">
        <v>28</v>
      </c>
      <c r="C137" s="1" t="s">
        <v>16</v>
      </c>
      <c r="D137" s="1" t="s">
        <v>40</v>
      </c>
      <c r="E137" s="1" t="s">
        <v>33</v>
      </c>
      <c r="F137" s="1">
        <v>40630</v>
      </c>
      <c r="G137" s="1">
        <v>4</v>
      </c>
      <c r="H137" s="1">
        <v>1</v>
      </c>
      <c r="I137" s="1">
        <v>3</v>
      </c>
      <c r="J137" s="1" t="s">
        <v>20</v>
      </c>
      <c r="K137" s="1">
        <v>2</v>
      </c>
      <c r="L137" s="1" t="s">
        <v>20</v>
      </c>
      <c r="M137" s="1" t="s">
        <v>30</v>
      </c>
      <c r="N137" s="1">
        <v>25</v>
      </c>
      <c r="O137" s="3" t="s">
        <v>44</v>
      </c>
    </row>
    <row r="138" spans="1:15" x14ac:dyDescent="0.25">
      <c r="A138" s="2" t="s">
        <v>175</v>
      </c>
      <c r="B138" s="1">
        <v>44</v>
      </c>
      <c r="C138" s="1" t="s">
        <v>16</v>
      </c>
      <c r="D138" s="1" t="s">
        <v>40</v>
      </c>
      <c r="E138" s="1" t="s">
        <v>41</v>
      </c>
      <c r="F138" s="1">
        <v>36202</v>
      </c>
      <c r="G138" s="1">
        <v>2</v>
      </c>
      <c r="H138" s="1">
        <v>4</v>
      </c>
      <c r="I138" s="1">
        <v>1</v>
      </c>
      <c r="J138" s="1" t="s">
        <v>20</v>
      </c>
      <c r="K138" s="1">
        <v>17</v>
      </c>
      <c r="L138" s="1" t="s">
        <v>20</v>
      </c>
      <c r="M138" s="1" t="s">
        <v>30</v>
      </c>
      <c r="N138" s="1">
        <v>75</v>
      </c>
      <c r="O138" s="3" t="s">
        <v>44</v>
      </c>
    </row>
    <row r="139" spans="1:15" x14ac:dyDescent="0.25">
      <c r="A139" s="2" t="s">
        <v>176</v>
      </c>
      <c r="B139" s="1">
        <v>26</v>
      </c>
      <c r="C139" s="1" t="s">
        <v>16</v>
      </c>
      <c r="D139" s="1" t="s">
        <v>29</v>
      </c>
      <c r="E139" s="1" t="s">
        <v>33</v>
      </c>
      <c r="F139" s="1">
        <v>111969</v>
      </c>
      <c r="G139" s="1">
        <v>4</v>
      </c>
      <c r="H139" s="1">
        <v>5</v>
      </c>
      <c r="I139" s="1">
        <v>4</v>
      </c>
      <c r="J139" s="1" t="s">
        <v>20</v>
      </c>
      <c r="K139" s="1">
        <v>18</v>
      </c>
      <c r="L139" s="1" t="s">
        <v>19</v>
      </c>
      <c r="M139" s="1" t="s">
        <v>21</v>
      </c>
      <c r="N139" s="1">
        <v>45</v>
      </c>
      <c r="O139" s="3" t="s">
        <v>22</v>
      </c>
    </row>
    <row r="140" spans="1:15" x14ac:dyDescent="0.25">
      <c r="A140" s="2" t="s">
        <v>177</v>
      </c>
      <c r="B140" s="1">
        <v>49</v>
      </c>
      <c r="C140" s="1" t="s">
        <v>28</v>
      </c>
      <c r="D140" s="1" t="s">
        <v>17</v>
      </c>
      <c r="E140" s="1" t="s">
        <v>25</v>
      </c>
      <c r="F140" s="1"/>
      <c r="G140" s="1">
        <v>2</v>
      </c>
      <c r="H140" s="1">
        <v>5</v>
      </c>
      <c r="I140" s="1">
        <v>5</v>
      </c>
      <c r="J140" s="1" t="s">
        <v>19</v>
      </c>
      <c r="K140" s="1">
        <v>4</v>
      </c>
      <c r="L140" s="1" t="s">
        <v>20</v>
      </c>
      <c r="M140" s="1" t="s">
        <v>26</v>
      </c>
      <c r="N140" s="1">
        <v>12</v>
      </c>
      <c r="O140" s="3" t="s">
        <v>22</v>
      </c>
    </row>
    <row r="141" spans="1:15" x14ac:dyDescent="0.25">
      <c r="A141" s="2" t="s">
        <v>178</v>
      </c>
      <c r="B141" s="1">
        <v>54</v>
      </c>
      <c r="C141" s="1" t="s">
        <v>16</v>
      </c>
      <c r="D141" s="1" t="s">
        <v>29</v>
      </c>
      <c r="E141" s="1" t="s">
        <v>41</v>
      </c>
      <c r="F141" s="1">
        <v>39229</v>
      </c>
      <c r="G141" s="1">
        <v>3</v>
      </c>
      <c r="H141" s="1">
        <v>2</v>
      </c>
      <c r="I141" s="1">
        <v>3</v>
      </c>
      <c r="J141" s="1" t="s">
        <v>20</v>
      </c>
      <c r="K141" s="1">
        <v>2</v>
      </c>
      <c r="L141" s="1" t="s">
        <v>20</v>
      </c>
      <c r="M141" s="1" t="s">
        <v>21</v>
      </c>
      <c r="N141" s="1">
        <v>75</v>
      </c>
      <c r="O141" s="3" t="s">
        <v>36</v>
      </c>
    </row>
    <row r="142" spans="1:15" x14ac:dyDescent="0.25">
      <c r="A142" s="2" t="s">
        <v>179</v>
      </c>
      <c r="B142" s="1">
        <v>29</v>
      </c>
      <c r="C142" s="1" t="s">
        <v>28</v>
      </c>
      <c r="D142" s="1" t="s">
        <v>24</v>
      </c>
      <c r="E142" s="1" t="s">
        <v>25</v>
      </c>
      <c r="F142" s="1">
        <v>30245</v>
      </c>
      <c r="G142" s="1">
        <v>5</v>
      </c>
      <c r="H142" s="1">
        <v>2</v>
      </c>
      <c r="I142" s="1">
        <v>5</v>
      </c>
      <c r="J142" s="1" t="s">
        <v>19</v>
      </c>
      <c r="K142" s="1">
        <v>5</v>
      </c>
      <c r="L142" s="1" t="s">
        <v>20</v>
      </c>
      <c r="M142" s="1" t="s">
        <v>26</v>
      </c>
      <c r="N142" s="1">
        <v>10</v>
      </c>
      <c r="O142" s="3" t="s">
        <v>22</v>
      </c>
    </row>
    <row r="143" spans="1:15" x14ac:dyDescent="0.25">
      <c r="A143" s="2" t="s">
        <v>180</v>
      </c>
      <c r="B143" s="1">
        <v>26</v>
      </c>
      <c r="C143" s="1" t="s">
        <v>16</v>
      </c>
      <c r="D143" s="1" t="s">
        <v>17</v>
      </c>
      <c r="E143" s="1" t="s">
        <v>25</v>
      </c>
      <c r="F143" s="1">
        <v>52688</v>
      </c>
      <c r="G143" s="1">
        <v>2</v>
      </c>
      <c r="H143" s="1">
        <v>5</v>
      </c>
      <c r="I143" s="1">
        <v>4</v>
      </c>
      <c r="J143" s="1" t="s">
        <v>19</v>
      </c>
      <c r="K143" s="1">
        <v>15</v>
      </c>
      <c r="L143" s="1" t="s">
        <v>20</v>
      </c>
      <c r="M143" s="1" t="s">
        <v>26</v>
      </c>
      <c r="N143" s="1">
        <v>43</v>
      </c>
      <c r="O143" s="3" t="s">
        <v>42</v>
      </c>
    </row>
    <row r="144" spans="1:15" x14ac:dyDescent="0.25">
      <c r="A144" s="2" t="s">
        <v>181</v>
      </c>
      <c r="B144" s="1">
        <v>36</v>
      </c>
      <c r="C144" s="1" t="s">
        <v>28</v>
      </c>
      <c r="D144" s="1" t="s">
        <v>29</v>
      </c>
      <c r="E144" s="1" t="s">
        <v>33</v>
      </c>
      <c r="F144" s="1">
        <v>27564</v>
      </c>
      <c r="G144" s="1">
        <v>1</v>
      </c>
      <c r="H144" s="1">
        <v>2</v>
      </c>
      <c r="I144" s="1"/>
      <c r="J144" s="1" t="s">
        <v>20</v>
      </c>
      <c r="K144" s="1">
        <v>15</v>
      </c>
      <c r="L144" s="1" t="s">
        <v>20</v>
      </c>
      <c r="M144" s="1" t="s">
        <v>21</v>
      </c>
      <c r="N144" s="1">
        <v>48</v>
      </c>
      <c r="O144" s="3" t="s">
        <v>31</v>
      </c>
    </row>
    <row r="145" spans="1:15" x14ac:dyDescent="0.25">
      <c r="A145" s="2" t="s">
        <v>182</v>
      </c>
      <c r="B145" s="1">
        <v>30</v>
      </c>
      <c r="C145" s="1" t="s">
        <v>28</v>
      </c>
      <c r="D145" s="1" t="s">
        <v>17</v>
      </c>
      <c r="E145" s="1" t="s">
        <v>18</v>
      </c>
      <c r="F145" s="1">
        <v>114233</v>
      </c>
      <c r="G145" s="1"/>
      <c r="H145" s="1">
        <v>4</v>
      </c>
      <c r="I145" s="1">
        <v>2</v>
      </c>
      <c r="J145" s="1" t="s">
        <v>20</v>
      </c>
      <c r="K145" s="1">
        <v>16</v>
      </c>
      <c r="L145" s="1" t="s">
        <v>19</v>
      </c>
      <c r="M145" s="1" t="s">
        <v>30</v>
      </c>
      <c r="N145" s="1">
        <v>35</v>
      </c>
      <c r="O145" s="3" t="s">
        <v>42</v>
      </c>
    </row>
    <row r="146" spans="1:15" x14ac:dyDescent="0.25">
      <c r="A146" s="2" t="s">
        <v>183</v>
      </c>
      <c r="B146" s="1">
        <v>28</v>
      </c>
      <c r="C146" s="1" t="s">
        <v>28</v>
      </c>
      <c r="D146" s="1" t="s">
        <v>49</v>
      </c>
      <c r="E146" s="1" t="s">
        <v>41</v>
      </c>
      <c r="F146" s="1">
        <v>36465</v>
      </c>
      <c r="G146" s="1">
        <v>1</v>
      </c>
      <c r="H146" s="1">
        <v>1</v>
      </c>
      <c r="I146" s="1">
        <v>3</v>
      </c>
      <c r="J146" s="1" t="s">
        <v>20</v>
      </c>
      <c r="K146" s="1">
        <v>19</v>
      </c>
      <c r="L146" s="1" t="s">
        <v>20</v>
      </c>
      <c r="M146" s="1" t="s">
        <v>21</v>
      </c>
      <c r="N146" s="1">
        <v>25</v>
      </c>
      <c r="O146" s="3" t="s">
        <v>36</v>
      </c>
    </row>
    <row r="147" spans="1:15" x14ac:dyDescent="0.25">
      <c r="A147" s="2" t="s">
        <v>184</v>
      </c>
      <c r="B147" s="1">
        <v>57</v>
      </c>
      <c r="C147" s="1" t="s">
        <v>28</v>
      </c>
      <c r="D147" s="1" t="s">
        <v>51</v>
      </c>
      <c r="E147" s="1" t="s">
        <v>41</v>
      </c>
      <c r="F147" s="1">
        <v>83308</v>
      </c>
      <c r="G147" s="1">
        <v>5</v>
      </c>
      <c r="H147" s="1">
        <v>4</v>
      </c>
      <c r="I147" s="1">
        <v>4</v>
      </c>
      <c r="J147" s="1" t="s">
        <v>20</v>
      </c>
      <c r="K147" s="1">
        <v>15</v>
      </c>
      <c r="L147" s="1" t="s">
        <v>19</v>
      </c>
      <c r="M147" s="1" t="s">
        <v>21</v>
      </c>
      <c r="N147" s="1">
        <v>55</v>
      </c>
      <c r="O147" s="3" t="s">
        <v>31</v>
      </c>
    </row>
    <row r="148" spans="1:15" x14ac:dyDescent="0.25">
      <c r="A148" s="2" t="s">
        <v>185</v>
      </c>
      <c r="B148" s="1">
        <v>50</v>
      </c>
      <c r="C148" s="1" t="s">
        <v>16</v>
      </c>
      <c r="D148" s="1" t="s">
        <v>51</v>
      </c>
      <c r="E148" s="1" t="s">
        <v>25</v>
      </c>
      <c r="F148" s="1">
        <v>64254</v>
      </c>
      <c r="G148" s="1">
        <v>1</v>
      </c>
      <c r="H148" s="1">
        <v>1</v>
      </c>
      <c r="I148" s="1">
        <v>3</v>
      </c>
      <c r="J148" s="1" t="s">
        <v>20</v>
      </c>
      <c r="K148" s="1">
        <v>19</v>
      </c>
      <c r="L148" s="1" t="s">
        <v>20</v>
      </c>
      <c r="M148" s="1" t="s">
        <v>30</v>
      </c>
      <c r="N148" s="1">
        <v>73</v>
      </c>
      <c r="O148" s="3" t="s">
        <v>22</v>
      </c>
    </row>
    <row r="149" spans="1:15" x14ac:dyDescent="0.25">
      <c r="A149" s="2" t="s">
        <v>186</v>
      </c>
      <c r="B149" s="1">
        <v>27</v>
      </c>
      <c r="C149" s="1" t="s">
        <v>28</v>
      </c>
      <c r="D149" s="1" t="s">
        <v>51</v>
      </c>
      <c r="E149" s="1" t="s">
        <v>18</v>
      </c>
      <c r="F149" s="1">
        <v>113355</v>
      </c>
      <c r="G149" s="1">
        <v>3</v>
      </c>
      <c r="H149" s="1">
        <v>4</v>
      </c>
      <c r="I149" s="1">
        <v>3</v>
      </c>
      <c r="J149" s="1" t="s">
        <v>19</v>
      </c>
      <c r="K149" s="1">
        <v>12</v>
      </c>
      <c r="L149" s="1" t="s">
        <v>19</v>
      </c>
      <c r="M149" s="1" t="s">
        <v>26</v>
      </c>
      <c r="N149" s="1">
        <v>76</v>
      </c>
      <c r="O149" s="3" t="s">
        <v>44</v>
      </c>
    </row>
    <row r="150" spans="1:15" x14ac:dyDescent="0.25">
      <c r="A150" s="2" t="s">
        <v>187</v>
      </c>
      <c r="B150" s="1">
        <v>44</v>
      </c>
      <c r="C150" s="1" t="s">
        <v>28</v>
      </c>
      <c r="D150" s="1" t="s">
        <v>40</v>
      </c>
      <c r="E150" s="1" t="s">
        <v>33</v>
      </c>
      <c r="F150" s="1">
        <v>84093</v>
      </c>
      <c r="G150" s="1">
        <v>4</v>
      </c>
      <c r="H150" s="1">
        <v>5</v>
      </c>
      <c r="I150" s="1">
        <v>3</v>
      </c>
      <c r="J150" s="1" t="s">
        <v>19</v>
      </c>
      <c r="K150" s="1">
        <v>4</v>
      </c>
      <c r="L150" s="1" t="s">
        <v>19</v>
      </c>
      <c r="M150" s="1" t="s">
        <v>30</v>
      </c>
      <c r="N150" s="1">
        <v>52</v>
      </c>
      <c r="O150" s="3" t="s">
        <v>36</v>
      </c>
    </row>
    <row r="151" spans="1:15" x14ac:dyDescent="0.25">
      <c r="A151" s="2" t="s">
        <v>188</v>
      </c>
      <c r="B151" s="1">
        <v>56</v>
      </c>
      <c r="C151" s="1" t="s">
        <v>28</v>
      </c>
      <c r="D151" s="1" t="s">
        <v>51</v>
      </c>
      <c r="E151" s="1" t="s">
        <v>41</v>
      </c>
      <c r="F151" s="1">
        <v>96966</v>
      </c>
      <c r="G151" s="1">
        <v>5</v>
      </c>
      <c r="H151" s="1">
        <v>4</v>
      </c>
      <c r="I151" s="1">
        <v>5</v>
      </c>
      <c r="J151" s="1" t="s">
        <v>19</v>
      </c>
      <c r="K151" s="1">
        <v>1</v>
      </c>
      <c r="L151" s="1" t="s">
        <v>19</v>
      </c>
      <c r="M151" s="1" t="s">
        <v>21</v>
      </c>
      <c r="N151" s="1">
        <v>47</v>
      </c>
      <c r="O151" s="3" t="s">
        <v>42</v>
      </c>
    </row>
    <row r="152" spans="1:15" x14ac:dyDescent="0.25">
      <c r="A152" s="2" t="s">
        <v>189</v>
      </c>
      <c r="B152" s="1">
        <v>54</v>
      </c>
      <c r="C152" s="1" t="s">
        <v>28</v>
      </c>
      <c r="D152" s="1" t="s">
        <v>51</v>
      </c>
      <c r="E152" s="1" t="s">
        <v>25</v>
      </c>
      <c r="F152" s="1">
        <v>85568</v>
      </c>
      <c r="G152" s="1">
        <v>2</v>
      </c>
      <c r="H152" s="1">
        <v>3</v>
      </c>
      <c r="I152" s="1">
        <v>5</v>
      </c>
      <c r="J152" s="1" t="s">
        <v>20</v>
      </c>
      <c r="K152" s="1">
        <v>5</v>
      </c>
      <c r="L152" s="1" t="s">
        <v>20</v>
      </c>
      <c r="M152" s="1" t="s">
        <v>26</v>
      </c>
      <c r="N152" s="1">
        <v>43</v>
      </c>
      <c r="O152" s="3" t="s">
        <v>31</v>
      </c>
    </row>
    <row r="153" spans="1:15" x14ac:dyDescent="0.25">
      <c r="A153" s="2" t="s">
        <v>190</v>
      </c>
      <c r="B153" s="1">
        <v>42</v>
      </c>
      <c r="C153" s="1" t="s">
        <v>28</v>
      </c>
      <c r="D153" s="1" t="s">
        <v>17</v>
      </c>
      <c r="E153" s="1" t="s">
        <v>25</v>
      </c>
      <c r="F153" s="1">
        <v>57294</v>
      </c>
      <c r="G153" s="1"/>
      <c r="H153" s="1">
        <v>1</v>
      </c>
      <c r="I153" s="1">
        <v>3</v>
      </c>
      <c r="J153" s="1" t="s">
        <v>20</v>
      </c>
      <c r="K153" s="1">
        <v>3</v>
      </c>
      <c r="L153" s="1" t="s">
        <v>20</v>
      </c>
      <c r="M153" s="1" t="s">
        <v>26</v>
      </c>
      <c r="N153" s="1">
        <v>44</v>
      </c>
      <c r="O153" s="3" t="s">
        <v>22</v>
      </c>
    </row>
    <row r="154" spans="1:15" x14ac:dyDescent="0.25">
      <c r="A154" s="2" t="s">
        <v>191</v>
      </c>
      <c r="B154" s="1">
        <v>51</v>
      </c>
      <c r="C154" s="1" t="s">
        <v>28</v>
      </c>
      <c r="D154" s="1" t="s">
        <v>17</v>
      </c>
      <c r="E154" s="1" t="s">
        <v>25</v>
      </c>
      <c r="F154" s="1">
        <v>93711</v>
      </c>
      <c r="G154" s="1">
        <v>2</v>
      </c>
      <c r="H154" s="1">
        <v>1</v>
      </c>
      <c r="I154" s="1">
        <v>5</v>
      </c>
      <c r="J154" s="1" t="s">
        <v>20</v>
      </c>
      <c r="K154" s="1">
        <v>5</v>
      </c>
      <c r="L154" s="1" t="s">
        <v>20</v>
      </c>
      <c r="M154" s="1" t="s">
        <v>21</v>
      </c>
      <c r="N154" s="1">
        <v>36</v>
      </c>
      <c r="O154" s="3" t="s">
        <v>22</v>
      </c>
    </row>
    <row r="155" spans="1:15" x14ac:dyDescent="0.25">
      <c r="A155" s="2" t="s">
        <v>192</v>
      </c>
      <c r="B155" s="1">
        <v>57</v>
      </c>
      <c r="C155" s="1" t="s">
        <v>16</v>
      </c>
      <c r="D155" s="1" t="s">
        <v>51</v>
      </c>
      <c r="E155" s="1" t="s">
        <v>35</v>
      </c>
      <c r="F155" s="1">
        <v>75807</v>
      </c>
      <c r="G155" s="1">
        <v>3</v>
      </c>
      <c r="H155" s="1">
        <v>4</v>
      </c>
      <c r="I155" s="1">
        <v>2</v>
      </c>
      <c r="J155" s="1" t="s">
        <v>20</v>
      </c>
      <c r="K155" s="1">
        <v>6</v>
      </c>
      <c r="L155" s="1" t="s">
        <v>20</v>
      </c>
      <c r="M155" s="1" t="s">
        <v>26</v>
      </c>
      <c r="N155" s="1">
        <v>65</v>
      </c>
      <c r="O155" s="3" t="s">
        <v>22</v>
      </c>
    </row>
    <row r="156" spans="1:15" x14ac:dyDescent="0.25">
      <c r="A156" s="2" t="s">
        <v>193</v>
      </c>
      <c r="B156" s="1">
        <v>29</v>
      </c>
      <c r="C156" s="1" t="s">
        <v>16</v>
      </c>
      <c r="D156" s="1" t="s">
        <v>24</v>
      </c>
      <c r="E156" s="1" t="s">
        <v>18</v>
      </c>
      <c r="F156" s="1">
        <v>104799</v>
      </c>
      <c r="G156" s="1">
        <v>4</v>
      </c>
      <c r="H156" s="1">
        <v>5</v>
      </c>
      <c r="I156" s="1">
        <v>4</v>
      </c>
      <c r="J156" s="1" t="s">
        <v>20</v>
      </c>
      <c r="K156" s="1">
        <v>5</v>
      </c>
      <c r="L156" s="1" t="s">
        <v>20</v>
      </c>
      <c r="M156" s="1" t="s">
        <v>26</v>
      </c>
      <c r="N156" s="1">
        <v>48</v>
      </c>
      <c r="O156" s="3" t="s">
        <v>31</v>
      </c>
    </row>
    <row r="157" spans="1:15" x14ac:dyDescent="0.25">
      <c r="A157" s="2" t="s">
        <v>194</v>
      </c>
      <c r="B157" s="1">
        <v>43</v>
      </c>
      <c r="C157" s="1" t="s">
        <v>28</v>
      </c>
      <c r="D157" s="1" t="s">
        <v>24</v>
      </c>
      <c r="E157" s="1" t="s">
        <v>33</v>
      </c>
      <c r="F157" s="1">
        <v>43200</v>
      </c>
      <c r="G157" s="1">
        <v>2</v>
      </c>
      <c r="H157" s="1">
        <v>3</v>
      </c>
      <c r="I157" s="1">
        <v>5</v>
      </c>
      <c r="J157" s="1" t="s">
        <v>20</v>
      </c>
      <c r="K157" s="1">
        <v>7</v>
      </c>
      <c r="L157" s="1" t="s">
        <v>20</v>
      </c>
      <c r="M157" s="1" t="s">
        <v>30</v>
      </c>
      <c r="N157" s="1">
        <v>31</v>
      </c>
      <c r="O157" s="3" t="s">
        <v>42</v>
      </c>
    </row>
    <row r="158" spans="1:15" x14ac:dyDescent="0.25">
      <c r="A158" s="2" t="s">
        <v>195</v>
      </c>
      <c r="B158" s="1">
        <v>41</v>
      </c>
      <c r="C158" s="1" t="s">
        <v>28</v>
      </c>
      <c r="D158" s="1" t="s">
        <v>29</v>
      </c>
      <c r="E158" s="1" t="s">
        <v>25</v>
      </c>
      <c r="F158" s="1">
        <v>112589</v>
      </c>
      <c r="G158" s="1">
        <v>3</v>
      </c>
      <c r="H158" s="1">
        <v>3</v>
      </c>
      <c r="I158" s="1">
        <v>1</v>
      </c>
      <c r="J158" s="1" t="s">
        <v>20</v>
      </c>
      <c r="K158" s="1">
        <v>12</v>
      </c>
      <c r="L158" s="1" t="s">
        <v>20</v>
      </c>
      <c r="M158" s="1" t="s">
        <v>21</v>
      </c>
      <c r="N158" s="1">
        <v>42</v>
      </c>
      <c r="O158" s="3" t="s">
        <v>22</v>
      </c>
    </row>
    <row r="159" spans="1:15" x14ac:dyDescent="0.25">
      <c r="A159" s="2" t="s">
        <v>196</v>
      </c>
      <c r="B159" s="1">
        <v>39</v>
      </c>
      <c r="C159" s="1" t="s">
        <v>16</v>
      </c>
      <c r="D159" s="1" t="s">
        <v>29</v>
      </c>
      <c r="E159" s="1" t="s">
        <v>33</v>
      </c>
      <c r="F159" s="1">
        <v>103979</v>
      </c>
      <c r="G159" s="1">
        <v>3</v>
      </c>
      <c r="H159" s="1">
        <v>4</v>
      </c>
      <c r="I159" s="1">
        <v>2</v>
      </c>
      <c r="J159" s="1" t="s">
        <v>19</v>
      </c>
      <c r="K159" s="1">
        <v>17</v>
      </c>
      <c r="L159" s="1" t="s">
        <v>20</v>
      </c>
      <c r="M159" s="1" t="s">
        <v>26</v>
      </c>
      <c r="N159" s="1">
        <v>39</v>
      </c>
      <c r="O159" s="3" t="s">
        <v>44</v>
      </c>
    </row>
    <row r="160" spans="1:15" x14ac:dyDescent="0.25">
      <c r="A160" s="2" t="s">
        <v>197</v>
      </c>
      <c r="B160" s="1">
        <v>27</v>
      </c>
      <c r="C160" s="1" t="s">
        <v>16</v>
      </c>
      <c r="D160" s="1" t="s">
        <v>51</v>
      </c>
      <c r="E160" s="1" t="s">
        <v>35</v>
      </c>
      <c r="F160" s="1">
        <v>105796</v>
      </c>
      <c r="G160" s="1">
        <v>5</v>
      </c>
      <c r="H160" s="1">
        <v>2</v>
      </c>
      <c r="I160" s="1">
        <v>2</v>
      </c>
      <c r="J160" s="1" t="s">
        <v>19</v>
      </c>
      <c r="K160" s="1">
        <v>3</v>
      </c>
      <c r="L160" s="1" t="s">
        <v>20</v>
      </c>
      <c r="M160" s="1" t="s">
        <v>30</v>
      </c>
      <c r="N160" s="1">
        <v>65</v>
      </c>
      <c r="O160" s="3" t="s">
        <v>22</v>
      </c>
    </row>
    <row r="161" spans="1:15" x14ac:dyDescent="0.25">
      <c r="A161" s="2" t="s">
        <v>198</v>
      </c>
      <c r="B161" s="1">
        <v>29</v>
      </c>
      <c r="C161" s="1" t="s">
        <v>16</v>
      </c>
      <c r="D161" s="1" t="s">
        <v>24</v>
      </c>
      <c r="E161" s="1" t="s">
        <v>41</v>
      </c>
      <c r="F161" s="1">
        <v>71334</v>
      </c>
      <c r="G161" s="1">
        <v>4</v>
      </c>
      <c r="H161" s="1">
        <v>4</v>
      </c>
      <c r="I161" s="1">
        <v>2</v>
      </c>
      <c r="J161" s="1" t="s">
        <v>20</v>
      </c>
      <c r="K161" s="1">
        <v>10</v>
      </c>
      <c r="L161" s="1" t="s">
        <v>20</v>
      </c>
      <c r="M161" s="1" t="s">
        <v>26</v>
      </c>
      <c r="N161" s="1">
        <v>12</v>
      </c>
      <c r="O161" s="3" t="s">
        <v>22</v>
      </c>
    </row>
    <row r="162" spans="1:15" x14ac:dyDescent="0.25">
      <c r="A162" s="2" t="s">
        <v>199</v>
      </c>
      <c r="B162" s="1">
        <v>57</v>
      </c>
      <c r="C162" s="1" t="s">
        <v>16</v>
      </c>
      <c r="D162" s="1" t="s">
        <v>24</v>
      </c>
      <c r="E162" s="1" t="s">
        <v>38</v>
      </c>
      <c r="F162" s="1">
        <v>112780</v>
      </c>
      <c r="G162" s="1">
        <v>1</v>
      </c>
      <c r="H162" s="1">
        <v>2</v>
      </c>
      <c r="I162" s="1">
        <v>4</v>
      </c>
      <c r="J162" s="1" t="s">
        <v>19</v>
      </c>
      <c r="K162" s="1">
        <v>1</v>
      </c>
      <c r="L162" s="1" t="s">
        <v>20</v>
      </c>
      <c r="M162" s="1" t="s">
        <v>30</v>
      </c>
      <c r="N162" s="1">
        <v>28</v>
      </c>
      <c r="O162" s="3" t="s">
        <v>36</v>
      </c>
    </row>
    <row r="163" spans="1:15" x14ac:dyDescent="0.25">
      <c r="A163" s="2" t="s">
        <v>200</v>
      </c>
      <c r="B163" s="1">
        <v>23</v>
      </c>
      <c r="C163" s="1" t="s">
        <v>16</v>
      </c>
      <c r="D163" s="1" t="s">
        <v>29</v>
      </c>
      <c r="E163" s="1" t="s">
        <v>25</v>
      </c>
      <c r="F163" s="1">
        <v>97007</v>
      </c>
      <c r="G163" s="1">
        <v>1</v>
      </c>
      <c r="H163" s="1">
        <v>3</v>
      </c>
      <c r="I163" s="1">
        <v>3</v>
      </c>
      <c r="J163" s="1" t="s">
        <v>20</v>
      </c>
      <c r="K163" s="1">
        <v>20</v>
      </c>
      <c r="L163" s="1" t="s">
        <v>20</v>
      </c>
      <c r="M163" s="1" t="s">
        <v>21</v>
      </c>
      <c r="N163" s="1">
        <v>69</v>
      </c>
      <c r="O163" s="3" t="s">
        <v>42</v>
      </c>
    </row>
    <row r="164" spans="1:15" x14ac:dyDescent="0.25">
      <c r="A164" s="2" t="s">
        <v>201</v>
      </c>
      <c r="B164" s="1">
        <v>38</v>
      </c>
      <c r="C164" s="1" t="s">
        <v>16</v>
      </c>
      <c r="D164" s="1" t="s">
        <v>40</v>
      </c>
      <c r="E164" s="1" t="s">
        <v>18</v>
      </c>
      <c r="F164" s="1">
        <v>39298</v>
      </c>
      <c r="G164" s="1">
        <v>4</v>
      </c>
      <c r="H164" s="1">
        <v>3</v>
      </c>
      <c r="I164" s="1">
        <v>2</v>
      </c>
      <c r="J164" s="1" t="s">
        <v>19</v>
      </c>
      <c r="K164" s="1">
        <v>10</v>
      </c>
      <c r="L164" s="1" t="s">
        <v>20</v>
      </c>
      <c r="M164" s="1" t="s">
        <v>26</v>
      </c>
      <c r="N164" s="1">
        <v>29</v>
      </c>
      <c r="O164" s="3" t="s">
        <v>44</v>
      </c>
    </row>
    <row r="165" spans="1:15" x14ac:dyDescent="0.25">
      <c r="A165" s="2" t="s">
        <v>202</v>
      </c>
      <c r="B165" s="1">
        <v>46</v>
      </c>
      <c r="C165" s="1" t="s">
        <v>28</v>
      </c>
      <c r="D165" s="1" t="s">
        <v>24</v>
      </c>
      <c r="E165" s="1" t="s">
        <v>18</v>
      </c>
      <c r="F165" s="1">
        <v>29368</v>
      </c>
      <c r="G165" s="1">
        <v>4</v>
      </c>
      <c r="H165" s="1">
        <v>1</v>
      </c>
      <c r="I165" s="1">
        <v>2</v>
      </c>
      <c r="J165" s="1" t="s">
        <v>19</v>
      </c>
      <c r="K165" s="1">
        <v>15</v>
      </c>
      <c r="L165" s="1" t="s">
        <v>20</v>
      </c>
      <c r="M165" s="1" t="s">
        <v>21</v>
      </c>
      <c r="N165" s="1">
        <v>5</v>
      </c>
      <c r="O165" s="3" t="s">
        <v>36</v>
      </c>
    </row>
    <row r="166" spans="1:15" x14ac:dyDescent="0.25">
      <c r="A166" s="2" t="s">
        <v>203</v>
      </c>
      <c r="B166" s="1">
        <v>45</v>
      </c>
      <c r="C166" s="1" t="s">
        <v>16</v>
      </c>
      <c r="D166" s="1" t="s">
        <v>49</v>
      </c>
      <c r="E166" s="1" t="s">
        <v>18</v>
      </c>
      <c r="F166" s="1">
        <v>61204</v>
      </c>
      <c r="G166" s="1">
        <v>3</v>
      </c>
      <c r="H166" s="1">
        <v>5</v>
      </c>
      <c r="I166" s="1">
        <v>5</v>
      </c>
      <c r="J166" s="1" t="s">
        <v>19</v>
      </c>
      <c r="K166" s="1">
        <v>8</v>
      </c>
      <c r="L166" s="1" t="s">
        <v>20</v>
      </c>
      <c r="M166" s="1" t="s">
        <v>26</v>
      </c>
      <c r="N166" s="1">
        <v>35</v>
      </c>
      <c r="O166" s="3" t="s">
        <v>22</v>
      </c>
    </row>
    <row r="167" spans="1:15" x14ac:dyDescent="0.25">
      <c r="A167" s="2" t="s">
        <v>204</v>
      </c>
      <c r="B167" s="1">
        <v>28</v>
      </c>
      <c r="C167" s="1" t="s">
        <v>28</v>
      </c>
      <c r="D167" s="1" t="s">
        <v>29</v>
      </c>
      <c r="E167" s="1" t="s">
        <v>41</v>
      </c>
      <c r="F167" s="1">
        <v>71138</v>
      </c>
      <c r="G167" s="1">
        <v>5</v>
      </c>
      <c r="H167" s="1">
        <v>3</v>
      </c>
      <c r="I167" s="1">
        <v>1</v>
      </c>
      <c r="J167" s="1" t="s">
        <v>20</v>
      </c>
      <c r="K167" s="1">
        <v>11</v>
      </c>
      <c r="L167" s="1" t="s">
        <v>19</v>
      </c>
      <c r="M167" s="1" t="s">
        <v>21</v>
      </c>
      <c r="N167" s="1">
        <v>22</v>
      </c>
      <c r="O167" s="3" t="s">
        <v>42</v>
      </c>
    </row>
    <row r="168" spans="1:15" x14ac:dyDescent="0.25">
      <c r="A168" s="2" t="s">
        <v>205</v>
      </c>
      <c r="B168" s="1">
        <v>30</v>
      </c>
      <c r="C168" s="1" t="s">
        <v>28</v>
      </c>
      <c r="D168" s="1" t="s">
        <v>17</v>
      </c>
      <c r="E168" s="1" t="s">
        <v>25</v>
      </c>
      <c r="F168" s="1">
        <v>66971</v>
      </c>
      <c r="G168" s="1">
        <v>4</v>
      </c>
      <c r="H168" s="1">
        <v>5</v>
      </c>
      <c r="I168" s="1">
        <v>4</v>
      </c>
      <c r="J168" s="1" t="s">
        <v>19</v>
      </c>
      <c r="K168" s="1">
        <v>7</v>
      </c>
      <c r="L168" s="1" t="s">
        <v>19</v>
      </c>
      <c r="M168" s="1" t="s">
        <v>26</v>
      </c>
      <c r="N168" s="1">
        <v>62</v>
      </c>
      <c r="O168" s="3" t="s">
        <v>31</v>
      </c>
    </row>
    <row r="169" spans="1:15" x14ac:dyDescent="0.25">
      <c r="A169" s="2" t="s">
        <v>206</v>
      </c>
      <c r="B169" s="1">
        <v>44</v>
      </c>
      <c r="C169" s="1" t="s">
        <v>16</v>
      </c>
      <c r="D169" s="1" t="s">
        <v>24</v>
      </c>
      <c r="E169" s="1" t="s">
        <v>35</v>
      </c>
      <c r="F169" s="1">
        <v>26094</v>
      </c>
      <c r="G169" s="1">
        <v>5</v>
      </c>
      <c r="H169" s="1">
        <v>5</v>
      </c>
      <c r="I169" s="1"/>
      <c r="J169" s="1" t="s">
        <v>19</v>
      </c>
      <c r="K169" s="1">
        <v>5</v>
      </c>
      <c r="L169" s="1" t="s">
        <v>20</v>
      </c>
      <c r="M169" s="1" t="s">
        <v>26</v>
      </c>
      <c r="N169" s="1">
        <v>61</v>
      </c>
      <c r="O169" s="3" t="s">
        <v>22</v>
      </c>
    </row>
    <row r="170" spans="1:15" x14ac:dyDescent="0.25">
      <c r="A170" s="2" t="s">
        <v>207</v>
      </c>
      <c r="B170" s="1">
        <v>34</v>
      </c>
      <c r="C170" s="1" t="s">
        <v>28</v>
      </c>
      <c r="D170" s="1" t="s">
        <v>40</v>
      </c>
      <c r="E170" s="1" t="s">
        <v>25</v>
      </c>
      <c r="F170" s="1">
        <v>76390</v>
      </c>
      <c r="G170" s="1">
        <v>1</v>
      </c>
      <c r="H170" s="1">
        <v>4</v>
      </c>
      <c r="I170" s="1">
        <v>2</v>
      </c>
      <c r="J170" s="1" t="s">
        <v>20</v>
      </c>
      <c r="K170" s="1">
        <v>14</v>
      </c>
      <c r="L170" s="1" t="s">
        <v>19</v>
      </c>
      <c r="M170" s="1" t="s">
        <v>26</v>
      </c>
      <c r="N170" s="1">
        <v>64</v>
      </c>
      <c r="O170" s="3" t="s">
        <v>36</v>
      </c>
    </row>
    <row r="171" spans="1:15" x14ac:dyDescent="0.25">
      <c r="A171" s="2" t="s">
        <v>208</v>
      </c>
      <c r="B171" s="1">
        <v>22</v>
      </c>
      <c r="C171" s="1" t="s">
        <v>28</v>
      </c>
      <c r="D171" s="1" t="s">
        <v>29</v>
      </c>
      <c r="E171" s="1" t="s">
        <v>35</v>
      </c>
      <c r="F171" s="1">
        <v>115754</v>
      </c>
      <c r="G171" s="1">
        <v>2</v>
      </c>
      <c r="H171" s="1">
        <v>5</v>
      </c>
      <c r="I171" s="1">
        <v>1</v>
      </c>
      <c r="J171" s="1" t="s">
        <v>19</v>
      </c>
      <c r="K171" s="1">
        <v>13</v>
      </c>
      <c r="L171" s="1" t="s">
        <v>20</v>
      </c>
      <c r="M171" s="1" t="s">
        <v>26</v>
      </c>
      <c r="N171" s="1">
        <v>13</v>
      </c>
      <c r="O171" s="3" t="s">
        <v>31</v>
      </c>
    </row>
    <row r="172" spans="1:15" x14ac:dyDescent="0.25">
      <c r="A172" s="2" t="s">
        <v>209</v>
      </c>
      <c r="B172" s="1">
        <v>24</v>
      </c>
      <c r="C172" s="1" t="s">
        <v>16</v>
      </c>
      <c r="D172" s="1" t="s">
        <v>49</v>
      </c>
      <c r="E172" s="1" t="s">
        <v>35</v>
      </c>
      <c r="F172" s="1">
        <v>55629</v>
      </c>
      <c r="G172" s="1">
        <v>4</v>
      </c>
      <c r="H172" s="1">
        <v>2</v>
      </c>
      <c r="I172" s="1">
        <v>2</v>
      </c>
      <c r="J172" s="1" t="s">
        <v>20</v>
      </c>
      <c r="K172" s="1">
        <v>11</v>
      </c>
      <c r="L172" s="1" t="s">
        <v>20</v>
      </c>
      <c r="M172" s="1" t="s">
        <v>30</v>
      </c>
      <c r="N172" s="1">
        <v>53</v>
      </c>
      <c r="O172" s="3" t="s">
        <v>42</v>
      </c>
    </row>
    <row r="173" spans="1:15" x14ac:dyDescent="0.25">
      <c r="A173" s="2" t="s">
        <v>210</v>
      </c>
      <c r="B173" s="1">
        <v>26</v>
      </c>
      <c r="C173" s="1" t="s">
        <v>16</v>
      </c>
      <c r="D173" s="1" t="s">
        <v>17</v>
      </c>
      <c r="E173" s="1" t="s">
        <v>18</v>
      </c>
      <c r="F173" s="1"/>
      <c r="G173" s="1">
        <v>2</v>
      </c>
      <c r="H173" s="1">
        <v>5</v>
      </c>
      <c r="I173" s="1">
        <v>4</v>
      </c>
      <c r="J173" s="1" t="s">
        <v>19</v>
      </c>
      <c r="K173" s="1">
        <v>7</v>
      </c>
      <c r="L173" s="1" t="s">
        <v>19</v>
      </c>
      <c r="M173" s="1" t="s">
        <v>21</v>
      </c>
      <c r="N173" s="1">
        <v>43</v>
      </c>
      <c r="O173" s="3" t="s">
        <v>42</v>
      </c>
    </row>
    <row r="174" spans="1:15" x14ac:dyDescent="0.25">
      <c r="A174" s="2" t="s">
        <v>211</v>
      </c>
      <c r="B174" s="1">
        <v>55</v>
      </c>
      <c r="C174" s="1" t="s">
        <v>28</v>
      </c>
      <c r="D174" s="1" t="s">
        <v>24</v>
      </c>
      <c r="E174" s="1" t="s">
        <v>33</v>
      </c>
      <c r="F174" s="1">
        <v>48102</v>
      </c>
      <c r="G174" s="1">
        <v>2</v>
      </c>
      <c r="H174" s="1">
        <v>4</v>
      </c>
      <c r="I174" s="1">
        <v>3</v>
      </c>
      <c r="J174" s="1" t="s">
        <v>19</v>
      </c>
      <c r="K174" s="1">
        <v>8</v>
      </c>
      <c r="L174" s="1" t="s">
        <v>19</v>
      </c>
      <c r="M174" s="1" t="s">
        <v>26</v>
      </c>
      <c r="N174" s="1">
        <v>19</v>
      </c>
      <c r="O174" s="3" t="s">
        <v>22</v>
      </c>
    </row>
    <row r="175" spans="1:15" x14ac:dyDescent="0.25">
      <c r="A175" s="2" t="s">
        <v>212</v>
      </c>
      <c r="B175" s="1">
        <v>47</v>
      </c>
      <c r="C175" s="1" t="s">
        <v>16</v>
      </c>
      <c r="D175" s="1" t="s">
        <v>51</v>
      </c>
      <c r="E175" s="1" t="s">
        <v>41</v>
      </c>
      <c r="F175" s="1">
        <v>26819</v>
      </c>
      <c r="G175" s="1">
        <v>1</v>
      </c>
      <c r="H175" s="1">
        <v>5</v>
      </c>
      <c r="I175" s="1">
        <v>1</v>
      </c>
      <c r="J175" s="1" t="s">
        <v>20</v>
      </c>
      <c r="K175" s="1">
        <v>19</v>
      </c>
      <c r="L175" s="1" t="s">
        <v>19</v>
      </c>
      <c r="M175" s="1" t="s">
        <v>21</v>
      </c>
      <c r="N175" s="1">
        <v>10</v>
      </c>
      <c r="O175" s="3" t="s">
        <v>42</v>
      </c>
    </row>
    <row r="176" spans="1:15" x14ac:dyDescent="0.25">
      <c r="A176" s="2" t="s">
        <v>213</v>
      </c>
      <c r="B176" s="1">
        <v>49</v>
      </c>
      <c r="C176" s="1" t="s">
        <v>16</v>
      </c>
      <c r="D176" s="1" t="s">
        <v>24</v>
      </c>
      <c r="E176" s="1" t="s">
        <v>41</v>
      </c>
      <c r="F176" s="1">
        <v>116878</v>
      </c>
      <c r="G176" s="1">
        <v>1</v>
      </c>
      <c r="H176" s="1">
        <v>2</v>
      </c>
      <c r="I176" s="1">
        <v>5</v>
      </c>
      <c r="J176" s="1" t="s">
        <v>20</v>
      </c>
      <c r="K176" s="1">
        <v>7</v>
      </c>
      <c r="L176" s="1" t="s">
        <v>20</v>
      </c>
      <c r="M176" s="1" t="s">
        <v>26</v>
      </c>
      <c r="N176" s="1">
        <v>46</v>
      </c>
      <c r="O176" s="3" t="s">
        <v>44</v>
      </c>
    </row>
    <row r="177" spans="1:15" x14ac:dyDescent="0.25">
      <c r="A177" s="2" t="s">
        <v>214</v>
      </c>
      <c r="B177" s="1">
        <v>40</v>
      </c>
      <c r="C177" s="1" t="s">
        <v>16</v>
      </c>
      <c r="D177" s="1" t="s">
        <v>17</v>
      </c>
      <c r="E177" s="1" t="s">
        <v>25</v>
      </c>
      <c r="F177" s="1">
        <v>46972</v>
      </c>
      <c r="G177" s="1"/>
      <c r="H177" s="1">
        <v>3</v>
      </c>
      <c r="I177" s="1">
        <v>3</v>
      </c>
      <c r="J177" s="1" t="s">
        <v>19</v>
      </c>
      <c r="K177" s="1">
        <v>17</v>
      </c>
      <c r="L177" s="1" t="s">
        <v>19</v>
      </c>
      <c r="M177" s="1" t="s">
        <v>26</v>
      </c>
      <c r="N177" s="1">
        <v>59</v>
      </c>
      <c r="O177" s="3" t="s">
        <v>31</v>
      </c>
    </row>
    <row r="178" spans="1:15" x14ac:dyDescent="0.25">
      <c r="A178" s="2" t="s">
        <v>215</v>
      </c>
      <c r="B178" s="1">
        <v>52</v>
      </c>
      <c r="C178" s="1" t="s">
        <v>16</v>
      </c>
      <c r="D178" s="1" t="s">
        <v>29</v>
      </c>
      <c r="E178" s="1" t="s">
        <v>38</v>
      </c>
      <c r="F178" s="1">
        <v>105994</v>
      </c>
      <c r="G178" s="1">
        <v>4</v>
      </c>
      <c r="H178" s="1">
        <v>5</v>
      </c>
      <c r="I178" s="1">
        <v>3</v>
      </c>
      <c r="J178" s="1" t="s">
        <v>20</v>
      </c>
      <c r="K178" s="1">
        <v>13</v>
      </c>
      <c r="L178" s="1" t="s">
        <v>19</v>
      </c>
      <c r="M178" s="1" t="s">
        <v>30</v>
      </c>
      <c r="N178" s="1">
        <v>53</v>
      </c>
      <c r="O178" s="3" t="s">
        <v>44</v>
      </c>
    </row>
    <row r="179" spans="1:15" x14ac:dyDescent="0.25">
      <c r="A179" s="2" t="s">
        <v>216</v>
      </c>
      <c r="B179" s="1">
        <v>55</v>
      </c>
      <c r="C179" s="1" t="s">
        <v>28</v>
      </c>
      <c r="D179" s="1" t="s">
        <v>51</v>
      </c>
      <c r="E179" s="1" t="s">
        <v>41</v>
      </c>
      <c r="F179" s="1">
        <v>57418</v>
      </c>
      <c r="G179" s="1">
        <v>2</v>
      </c>
      <c r="H179" s="1">
        <v>4</v>
      </c>
      <c r="I179" s="1">
        <v>1</v>
      </c>
      <c r="J179" s="1" t="s">
        <v>20</v>
      </c>
      <c r="K179" s="1">
        <v>13</v>
      </c>
      <c r="L179" s="1" t="s">
        <v>19</v>
      </c>
      <c r="M179" s="1" t="s">
        <v>30</v>
      </c>
      <c r="N179" s="1">
        <v>36</v>
      </c>
      <c r="O179" s="3" t="s">
        <v>36</v>
      </c>
    </row>
    <row r="180" spans="1:15" x14ac:dyDescent="0.25">
      <c r="A180" s="2" t="s">
        <v>217</v>
      </c>
      <c r="B180" s="1">
        <v>34</v>
      </c>
      <c r="C180" s="1" t="s">
        <v>28</v>
      </c>
      <c r="D180" s="1" t="s">
        <v>17</v>
      </c>
      <c r="E180" s="1" t="s">
        <v>35</v>
      </c>
      <c r="F180" s="1">
        <v>76954</v>
      </c>
      <c r="G180" s="1">
        <v>3</v>
      </c>
      <c r="H180" s="1">
        <v>1</v>
      </c>
      <c r="I180" s="1">
        <v>5</v>
      </c>
      <c r="J180" s="1" t="s">
        <v>19</v>
      </c>
      <c r="K180" s="1">
        <v>1</v>
      </c>
      <c r="L180" s="1" t="s">
        <v>20</v>
      </c>
      <c r="M180" s="1" t="s">
        <v>30</v>
      </c>
      <c r="N180" s="1">
        <v>10</v>
      </c>
      <c r="O180" s="3" t="s">
        <v>22</v>
      </c>
    </row>
    <row r="181" spans="1:15" x14ac:dyDescent="0.25">
      <c r="A181" s="2" t="s">
        <v>218</v>
      </c>
      <c r="B181" s="1">
        <v>33</v>
      </c>
      <c r="C181" s="1" t="s">
        <v>16</v>
      </c>
      <c r="D181" s="1" t="s">
        <v>49</v>
      </c>
      <c r="E181" s="1" t="s">
        <v>41</v>
      </c>
      <c r="F181" s="1">
        <v>61642</v>
      </c>
      <c r="G181" s="1">
        <v>3</v>
      </c>
      <c r="H181" s="1">
        <v>1</v>
      </c>
      <c r="I181" s="1">
        <v>2</v>
      </c>
      <c r="J181" s="1" t="s">
        <v>19</v>
      </c>
      <c r="K181" s="1">
        <v>3</v>
      </c>
      <c r="L181" s="1" t="s">
        <v>20</v>
      </c>
      <c r="M181" s="1" t="s">
        <v>21</v>
      </c>
      <c r="N181" s="1">
        <v>31</v>
      </c>
      <c r="O181" s="3" t="s">
        <v>42</v>
      </c>
    </row>
    <row r="182" spans="1:15" x14ac:dyDescent="0.25">
      <c r="A182" s="2" t="s">
        <v>219</v>
      </c>
      <c r="B182" s="1">
        <v>36</v>
      </c>
      <c r="C182" s="1" t="s">
        <v>28</v>
      </c>
      <c r="D182" s="1" t="s">
        <v>29</v>
      </c>
      <c r="E182" s="1" t="s">
        <v>33</v>
      </c>
      <c r="F182" s="1">
        <v>79112</v>
      </c>
      <c r="G182" s="1">
        <v>5</v>
      </c>
      <c r="H182" s="1">
        <v>3</v>
      </c>
      <c r="I182" s="1">
        <v>3</v>
      </c>
      <c r="J182" s="1" t="s">
        <v>20</v>
      </c>
      <c r="K182" s="1">
        <v>11</v>
      </c>
      <c r="L182" s="1" t="s">
        <v>20</v>
      </c>
      <c r="M182" s="1" t="s">
        <v>30</v>
      </c>
      <c r="N182" s="1">
        <v>17</v>
      </c>
      <c r="O182" s="3" t="s">
        <v>42</v>
      </c>
    </row>
    <row r="183" spans="1:15" x14ac:dyDescent="0.25">
      <c r="A183" s="2" t="s">
        <v>220</v>
      </c>
      <c r="B183" s="1">
        <v>41</v>
      </c>
      <c r="C183" s="1" t="s">
        <v>16</v>
      </c>
      <c r="D183" s="1" t="s">
        <v>29</v>
      </c>
      <c r="E183" s="1" t="s">
        <v>18</v>
      </c>
      <c r="F183" s="1">
        <v>72254</v>
      </c>
      <c r="G183" s="1">
        <v>1</v>
      </c>
      <c r="H183" s="1">
        <v>5</v>
      </c>
      <c r="I183" s="1">
        <v>2</v>
      </c>
      <c r="J183" s="1" t="s">
        <v>19</v>
      </c>
      <c r="K183" s="1">
        <v>0</v>
      </c>
      <c r="L183" s="1" t="s">
        <v>20</v>
      </c>
      <c r="M183" s="1" t="s">
        <v>26</v>
      </c>
      <c r="N183" s="1">
        <v>79</v>
      </c>
      <c r="O183" s="3" t="s">
        <v>31</v>
      </c>
    </row>
    <row r="184" spans="1:15" x14ac:dyDescent="0.25">
      <c r="A184" s="2" t="s">
        <v>221</v>
      </c>
      <c r="B184" s="1">
        <v>47</v>
      </c>
      <c r="C184" s="1" t="s">
        <v>28</v>
      </c>
      <c r="D184" s="1" t="s">
        <v>51</v>
      </c>
      <c r="E184" s="1" t="s">
        <v>41</v>
      </c>
      <c r="F184" s="1">
        <v>61236</v>
      </c>
      <c r="G184" s="1">
        <v>2</v>
      </c>
      <c r="H184" s="1">
        <v>4</v>
      </c>
      <c r="I184" s="1">
        <v>5</v>
      </c>
      <c r="J184" s="1" t="s">
        <v>19</v>
      </c>
      <c r="K184" s="1">
        <v>15</v>
      </c>
      <c r="L184" s="1" t="s">
        <v>20</v>
      </c>
      <c r="M184" s="1" t="s">
        <v>30</v>
      </c>
      <c r="N184" s="1">
        <v>67</v>
      </c>
      <c r="O184" s="3" t="s">
        <v>42</v>
      </c>
    </row>
    <row r="185" spans="1:15" x14ac:dyDescent="0.25">
      <c r="A185" s="2" t="s">
        <v>222</v>
      </c>
      <c r="B185" s="1">
        <v>50</v>
      </c>
      <c r="C185" s="1" t="s">
        <v>16</v>
      </c>
      <c r="D185" s="1" t="s">
        <v>17</v>
      </c>
      <c r="E185" s="1" t="s">
        <v>18</v>
      </c>
      <c r="F185" s="1"/>
      <c r="G185" s="1">
        <v>2</v>
      </c>
      <c r="H185" s="1">
        <v>5</v>
      </c>
      <c r="I185" s="1">
        <v>4</v>
      </c>
      <c r="J185" s="1" t="s">
        <v>19</v>
      </c>
      <c r="K185" s="1">
        <v>17</v>
      </c>
      <c r="L185" s="1" t="s">
        <v>19</v>
      </c>
      <c r="M185" s="1" t="s">
        <v>26</v>
      </c>
      <c r="N185" s="1">
        <v>9</v>
      </c>
      <c r="O185" s="3" t="s">
        <v>22</v>
      </c>
    </row>
    <row r="186" spans="1:15" x14ac:dyDescent="0.25">
      <c r="A186" s="2" t="s">
        <v>223</v>
      </c>
      <c r="B186" s="1">
        <v>24</v>
      </c>
      <c r="C186" s="1" t="s">
        <v>16</v>
      </c>
      <c r="D186" s="1" t="s">
        <v>49</v>
      </c>
      <c r="E186" s="1" t="s">
        <v>41</v>
      </c>
      <c r="F186" s="1">
        <v>100667</v>
      </c>
      <c r="G186" s="1">
        <v>2</v>
      </c>
      <c r="H186" s="1">
        <v>1</v>
      </c>
      <c r="I186" s="1">
        <v>2</v>
      </c>
      <c r="J186" s="1" t="s">
        <v>19</v>
      </c>
      <c r="K186" s="1">
        <v>6</v>
      </c>
      <c r="L186" s="1" t="s">
        <v>20</v>
      </c>
      <c r="M186" s="1" t="s">
        <v>30</v>
      </c>
      <c r="N186" s="1">
        <v>12</v>
      </c>
      <c r="O186" s="3" t="s">
        <v>31</v>
      </c>
    </row>
    <row r="187" spans="1:15" x14ac:dyDescent="0.25">
      <c r="A187" s="2" t="s">
        <v>224</v>
      </c>
      <c r="B187" s="1">
        <v>51</v>
      </c>
      <c r="C187" s="1" t="s">
        <v>28</v>
      </c>
      <c r="D187" s="1" t="s">
        <v>40</v>
      </c>
      <c r="E187" s="1" t="s">
        <v>35</v>
      </c>
      <c r="F187" s="1">
        <v>87758</v>
      </c>
      <c r="G187" s="1">
        <v>5</v>
      </c>
      <c r="H187" s="1">
        <v>4</v>
      </c>
      <c r="I187" s="1">
        <v>1</v>
      </c>
      <c r="J187" s="1" t="s">
        <v>19</v>
      </c>
      <c r="K187" s="1">
        <v>16</v>
      </c>
      <c r="L187" s="1" t="s">
        <v>20</v>
      </c>
      <c r="M187" s="1" t="s">
        <v>26</v>
      </c>
      <c r="N187" s="1">
        <v>41</v>
      </c>
      <c r="O187" s="3" t="s">
        <v>22</v>
      </c>
    </row>
    <row r="188" spans="1:15" x14ac:dyDescent="0.25">
      <c r="A188" s="2" t="s">
        <v>225</v>
      </c>
      <c r="B188" s="1">
        <v>53</v>
      </c>
      <c r="C188" s="1" t="s">
        <v>28</v>
      </c>
      <c r="D188" s="1" t="s">
        <v>51</v>
      </c>
      <c r="E188" s="1" t="s">
        <v>35</v>
      </c>
      <c r="F188" s="1">
        <v>30624</v>
      </c>
      <c r="G188" s="1">
        <v>5</v>
      </c>
      <c r="H188" s="1">
        <v>2</v>
      </c>
      <c r="I188" s="1">
        <v>2</v>
      </c>
      <c r="J188" s="1" t="s">
        <v>19</v>
      </c>
      <c r="K188" s="1">
        <v>19</v>
      </c>
      <c r="L188" s="1" t="s">
        <v>20</v>
      </c>
      <c r="M188" s="1" t="s">
        <v>30</v>
      </c>
      <c r="N188" s="1">
        <v>39</v>
      </c>
      <c r="O188" s="3" t="s">
        <v>42</v>
      </c>
    </row>
    <row r="189" spans="1:15" x14ac:dyDescent="0.25">
      <c r="A189" s="2" t="s">
        <v>226</v>
      </c>
      <c r="B189" s="1">
        <v>26</v>
      </c>
      <c r="C189" s="1" t="s">
        <v>28</v>
      </c>
      <c r="D189" s="1" t="s">
        <v>49</v>
      </c>
      <c r="E189" s="1" t="s">
        <v>33</v>
      </c>
      <c r="F189" s="1">
        <v>92055</v>
      </c>
      <c r="G189" s="1">
        <v>2</v>
      </c>
      <c r="H189" s="1">
        <v>2</v>
      </c>
      <c r="I189" s="1">
        <v>3</v>
      </c>
      <c r="J189" s="1" t="s">
        <v>19</v>
      </c>
      <c r="K189" s="1">
        <v>20</v>
      </c>
      <c r="L189" s="1" t="s">
        <v>19</v>
      </c>
      <c r="M189" s="1" t="s">
        <v>21</v>
      </c>
      <c r="N189" s="1">
        <v>56</v>
      </c>
      <c r="O189" s="3" t="s">
        <v>42</v>
      </c>
    </row>
    <row r="190" spans="1:15" x14ac:dyDescent="0.25">
      <c r="A190" s="2" t="s">
        <v>227</v>
      </c>
      <c r="B190" s="1">
        <v>45</v>
      </c>
      <c r="C190" s="1" t="s">
        <v>28</v>
      </c>
      <c r="D190" s="1" t="s">
        <v>40</v>
      </c>
      <c r="E190" s="1" t="s">
        <v>38</v>
      </c>
      <c r="F190" s="1">
        <v>19238</v>
      </c>
      <c r="G190" s="1">
        <v>2</v>
      </c>
      <c r="H190" s="1">
        <v>1</v>
      </c>
      <c r="I190" s="1">
        <v>4</v>
      </c>
      <c r="J190" s="1" t="s">
        <v>20</v>
      </c>
      <c r="K190" s="1">
        <v>20</v>
      </c>
      <c r="L190" s="1" t="s">
        <v>20</v>
      </c>
      <c r="M190" s="1" t="s">
        <v>26</v>
      </c>
      <c r="N190" s="1">
        <v>17</v>
      </c>
      <c r="O190" s="3" t="s">
        <v>31</v>
      </c>
    </row>
    <row r="191" spans="1:15" x14ac:dyDescent="0.25">
      <c r="A191" s="2" t="s">
        <v>228</v>
      </c>
      <c r="B191" s="1">
        <v>23</v>
      </c>
      <c r="C191" s="1" t="s">
        <v>16</v>
      </c>
      <c r="D191" s="1" t="s">
        <v>51</v>
      </c>
      <c r="E191" s="1" t="s">
        <v>38</v>
      </c>
      <c r="F191" s="1">
        <v>92289</v>
      </c>
      <c r="G191" s="1">
        <v>4</v>
      </c>
      <c r="H191" s="1">
        <v>3</v>
      </c>
      <c r="I191" s="1">
        <v>1</v>
      </c>
      <c r="J191" s="1" t="s">
        <v>19</v>
      </c>
      <c r="K191" s="1">
        <v>8</v>
      </c>
      <c r="L191" s="1" t="s">
        <v>19</v>
      </c>
      <c r="M191" s="1" t="s">
        <v>21</v>
      </c>
      <c r="N191" s="1">
        <v>45</v>
      </c>
      <c r="O191" s="3" t="s">
        <v>22</v>
      </c>
    </row>
    <row r="192" spans="1:15" x14ac:dyDescent="0.25">
      <c r="A192" s="2" t="s">
        <v>229</v>
      </c>
      <c r="B192" s="1">
        <v>34</v>
      </c>
      <c r="C192" s="1" t="s">
        <v>16</v>
      </c>
      <c r="D192" s="1" t="s">
        <v>17</v>
      </c>
      <c r="E192" s="1" t="s">
        <v>33</v>
      </c>
      <c r="F192" s="1">
        <v>28084</v>
      </c>
      <c r="G192" s="1">
        <v>3</v>
      </c>
      <c r="H192" s="1">
        <v>2</v>
      </c>
      <c r="I192" s="1">
        <v>5</v>
      </c>
      <c r="J192" s="1" t="s">
        <v>19</v>
      </c>
      <c r="K192" s="1">
        <v>18</v>
      </c>
      <c r="L192" s="1" t="s">
        <v>20</v>
      </c>
      <c r="M192" s="1" t="s">
        <v>26</v>
      </c>
      <c r="N192" s="1">
        <v>74</v>
      </c>
      <c r="O192" s="3" t="s">
        <v>36</v>
      </c>
    </row>
    <row r="193" spans="1:15" x14ac:dyDescent="0.25">
      <c r="A193" s="2" t="s">
        <v>230</v>
      </c>
      <c r="B193" s="1">
        <v>45</v>
      </c>
      <c r="C193" s="1" t="s">
        <v>16</v>
      </c>
      <c r="D193" s="1" t="s">
        <v>17</v>
      </c>
      <c r="E193" s="1" t="s">
        <v>38</v>
      </c>
      <c r="F193" s="1"/>
      <c r="G193" s="1">
        <v>5</v>
      </c>
      <c r="H193" s="1">
        <v>3</v>
      </c>
      <c r="I193" s="1">
        <v>1</v>
      </c>
      <c r="J193" s="1" t="s">
        <v>19</v>
      </c>
      <c r="K193" s="1">
        <v>13</v>
      </c>
      <c r="L193" s="1" t="s">
        <v>19</v>
      </c>
      <c r="M193" s="1" t="s">
        <v>21</v>
      </c>
      <c r="N193" s="1">
        <v>48</v>
      </c>
      <c r="O193" s="3" t="s">
        <v>31</v>
      </c>
    </row>
    <row r="194" spans="1:15" x14ac:dyDescent="0.25">
      <c r="A194" s="2" t="s">
        <v>231</v>
      </c>
      <c r="B194" s="1">
        <v>46</v>
      </c>
      <c r="C194" s="1" t="s">
        <v>28</v>
      </c>
      <c r="D194" s="1" t="s">
        <v>40</v>
      </c>
      <c r="E194" s="1" t="s">
        <v>38</v>
      </c>
      <c r="F194" s="1">
        <v>53825</v>
      </c>
      <c r="G194" s="1">
        <v>4</v>
      </c>
      <c r="H194" s="1">
        <v>4</v>
      </c>
      <c r="I194" s="1">
        <v>2</v>
      </c>
      <c r="J194" s="1" t="s">
        <v>20</v>
      </c>
      <c r="K194" s="1">
        <v>17</v>
      </c>
      <c r="L194" s="1" t="s">
        <v>20</v>
      </c>
      <c r="M194" s="1" t="s">
        <v>30</v>
      </c>
      <c r="N194" s="1">
        <v>28</v>
      </c>
      <c r="O194" s="3" t="s">
        <v>31</v>
      </c>
    </row>
    <row r="195" spans="1:15" x14ac:dyDescent="0.25">
      <c r="A195" s="2" t="s">
        <v>232</v>
      </c>
      <c r="B195" s="1">
        <v>45</v>
      </c>
      <c r="C195" s="1" t="s">
        <v>16</v>
      </c>
      <c r="D195" s="1" t="s">
        <v>24</v>
      </c>
      <c r="E195" s="1" t="s">
        <v>18</v>
      </c>
      <c r="F195" s="1">
        <v>50302</v>
      </c>
      <c r="G195" s="1">
        <v>1</v>
      </c>
      <c r="H195" s="1">
        <v>1</v>
      </c>
      <c r="I195" s="1">
        <v>3</v>
      </c>
      <c r="J195" s="1" t="s">
        <v>19</v>
      </c>
      <c r="K195" s="1">
        <v>12</v>
      </c>
      <c r="L195" s="1" t="s">
        <v>19</v>
      </c>
      <c r="M195" s="1" t="s">
        <v>26</v>
      </c>
      <c r="N195" s="1">
        <v>54</v>
      </c>
      <c r="O195" s="3" t="s">
        <v>36</v>
      </c>
    </row>
    <row r="196" spans="1:15" x14ac:dyDescent="0.25">
      <c r="A196" s="2" t="s">
        <v>233</v>
      </c>
      <c r="B196" s="1">
        <v>44</v>
      </c>
      <c r="C196" s="1" t="s">
        <v>16</v>
      </c>
      <c r="D196" s="1" t="s">
        <v>40</v>
      </c>
      <c r="E196" s="1" t="s">
        <v>35</v>
      </c>
      <c r="F196" s="1">
        <v>58405</v>
      </c>
      <c r="G196" s="1">
        <v>4</v>
      </c>
      <c r="H196" s="1">
        <v>3</v>
      </c>
      <c r="I196" s="1">
        <v>3</v>
      </c>
      <c r="J196" s="1" t="s">
        <v>19</v>
      </c>
      <c r="K196" s="1">
        <v>4</v>
      </c>
      <c r="L196" s="1" t="s">
        <v>19</v>
      </c>
      <c r="M196" s="1" t="s">
        <v>21</v>
      </c>
      <c r="N196" s="1">
        <v>60</v>
      </c>
      <c r="O196" s="3" t="s">
        <v>42</v>
      </c>
    </row>
    <row r="197" spans="1:15" x14ac:dyDescent="0.25">
      <c r="A197" s="2" t="s">
        <v>234</v>
      </c>
      <c r="B197" s="1">
        <v>56</v>
      </c>
      <c r="C197" s="1" t="s">
        <v>28</v>
      </c>
      <c r="D197" s="1" t="s">
        <v>40</v>
      </c>
      <c r="E197" s="1" t="s">
        <v>35</v>
      </c>
      <c r="F197" s="1">
        <v>29746</v>
      </c>
      <c r="G197" s="1">
        <v>3</v>
      </c>
      <c r="H197" s="1">
        <v>5</v>
      </c>
      <c r="I197" s="1">
        <v>1</v>
      </c>
      <c r="J197" s="1" t="s">
        <v>20</v>
      </c>
      <c r="K197" s="1">
        <v>12</v>
      </c>
      <c r="L197" s="1" t="s">
        <v>19</v>
      </c>
      <c r="M197" s="1" t="s">
        <v>30</v>
      </c>
      <c r="N197" s="1">
        <v>57</v>
      </c>
      <c r="O197" s="3" t="s">
        <v>42</v>
      </c>
    </row>
    <row r="198" spans="1:15" x14ac:dyDescent="0.25">
      <c r="A198" s="2" t="s">
        <v>235</v>
      </c>
      <c r="B198" s="1">
        <v>26</v>
      </c>
      <c r="C198" s="1" t="s">
        <v>16</v>
      </c>
      <c r="D198" s="1" t="s">
        <v>24</v>
      </c>
      <c r="E198" s="1" t="s">
        <v>25</v>
      </c>
      <c r="F198" s="1">
        <v>40227</v>
      </c>
      <c r="G198" s="1">
        <v>4</v>
      </c>
      <c r="H198" s="1">
        <v>2</v>
      </c>
      <c r="I198" s="1">
        <v>2</v>
      </c>
      <c r="J198" s="1" t="s">
        <v>20</v>
      </c>
      <c r="K198" s="1">
        <v>9</v>
      </c>
      <c r="L198" s="1" t="s">
        <v>20</v>
      </c>
      <c r="M198" s="1" t="s">
        <v>30</v>
      </c>
      <c r="N198" s="1">
        <v>23</v>
      </c>
      <c r="O198" s="3" t="s">
        <v>22</v>
      </c>
    </row>
    <row r="199" spans="1:15" x14ac:dyDescent="0.25">
      <c r="A199" s="2" t="s">
        <v>236</v>
      </c>
      <c r="B199" s="1">
        <v>31</v>
      </c>
      <c r="C199" s="1" t="s">
        <v>28</v>
      </c>
      <c r="D199" s="1" t="s">
        <v>29</v>
      </c>
      <c r="E199" s="1" t="s">
        <v>33</v>
      </c>
      <c r="F199" s="1">
        <v>57289</v>
      </c>
      <c r="G199" s="1">
        <v>4</v>
      </c>
      <c r="H199" s="1">
        <v>1</v>
      </c>
      <c r="I199" s="1">
        <v>3</v>
      </c>
      <c r="J199" s="1" t="s">
        <v>20</v>
      </c>
      <c r="K199" s="1">
        <v>7</v>
      </c>
      <c r="L199" s="1" t="s">
        <v>20</v>
      </c>
      <c r="M199" s="1" t="s">
        <v>26</v>
      </c>
      <c r="N199" s="1">
        <v>30</v>
      </c>
      <c r="O199" s="3" t="s">
        <v>42</v>
      </c>
    </row>
    <row r="200" spans="1:15" x14ac:dyDescent="0.25">
      <c r="A200" s="2" t="s">
        <v>237</v>
      </c>
      <c r="B200" s="1">
        <v>27</v>
      </c>
      <c r="C200" s="1" t="s">
        <v>16</v>
      </c>
      <c r="D200" s="1" t="s">
        <v>29</v>
      </c>
      <c r="E200" s="1" t="s">
        <v>35</v>
      </c>
      <c r="F200" s="1"/>
      <c r="G200" s="1">
        <v>3</v>
      </c>
      <c r="H200" s="1">
        <v>5</v>
      </c>
      <c r="I200" s="1">
        <v>4</v>
      </c>
      <c r="J200" s="1" t="s">
        <v>20</v>
      </c>
      <c r="K200" s="1">
        <v>14</v>
      </c>
      <c r="L200" s="1" t="s">
        <v>20</v>
      </c>
      <c r="M200" s="1" t="s">
        <v>30</v>
      </c>
      <c r="N200" s="1">
        <v>22</v>
      </c>
      <c r="O200" s="3" t="s">
        <v>36</v>
      </c>
    </row>
    <row r="201" spans="1:15" x14ac:dyDescent="0.25">
      <c r="A201" s="2" t="s">
        <v>238</v>
      </c>
      <c r="B201" s="1">
        <v>41</v>
      </c>
      <c r="C201" s="1" t="s">
        <v>16</v>
      </c>
      <c r="D201" s="1" t="s">
        <v>49</v>
      </c>
      <c r="E201" s="1" t="s">
        <v>18</v>
      </c>
      <c r="F201" s="1">
        <v>41283</v>
      </c>
      <c r="G201" s="1">
        <v>4</v>
      </c>
      <c r="H201" s="1">
        <v>3</v>
      </c>
      <c r="I201" s="1">
        <v>3</v>
      </c>
      <c r="J201" s="1" t="s">
        <v>20</v>
      </c>
      <c r="K201" s="1">
        <v>18</v>
      </c>
      <c r="L201" s="1" t="s">
        <v>19</v>
      </c>
      <c r="M201" s="1" t="s">
        <v>30</v>
      </c>
      <c r="N201" s="1">
        <v>53</v>
      </c>
      <c r="O201" s="3" t="s">
        <v>36</v>
      </c>
    </row>
    <row r="202" spans="1:15" x14ac:dyDescent="0.25">
      <c r="A202" s="2" t="s">
        <v>239</v>
      </c>
      <c r="B202" s="1">
        <v>46</v>
      </c>
      <c r="C202" s="1" t="s">
        <v>28</v>
      </c>
      <c r="D202" s="1" t="s">
        <v>40</v>
      </c>
      <c r="E202" s="1" t="s">
        <v>25</v>
      </c>
      <c r="F202" s="1">
        <v>44188</v>
      </c>
      <c r="G202" s="1">
        <v>5</v>
      </c>
      <c r="H202" s="1">
        <v>5</v>
      </c>
      <c r="I202" s="1">
        <v>2</v>
      </c>
      <c r="J202" s="1" t="s">
        <v>19</v>
      </c>
      <c r="K202" s="1">
        <v>14</v>
      </c>
      <c r="L202" s="1" t="s">
        <v>19</v>
      </c>
      <c r="M202" s="1" t="s">
        <v>30</v>
      </c>
      <c r="N202" s="1">
        <v>42</v>
      </c>
      <c r="O202" s="3" t="s">
        <v>22</v>
      </c>
    </row>
    <row r="203" spans="1:15" x14ac:dyDescent="0.25">
      <c r="A203" s="2" t="s">
        <v>240</v>
      </c>
      <c r="B203" s="1">
        <v>47</v>
      </c>
      <c r="C203" s="1" t="s">
        <v>28</v>
      </c>
      <c r="D203" s="1" t="s">
        <v>51</v>
      </c>
      <c r="E203" s="1" t="s">
        <v>38</v>
      </c>
      <c r="F203" s="1">
        <v>57692</v>
      </c>
      <c r="G203" s="1">
        <v>2</v>
      </c>
      <c r="H203" s="1"/>
      <c r="I203" s="1">
        <v>2</v>
      </c>
      <c r="J203" s="1" t="s">
        <v>20</v>
      </c>
      <c r="K203" s="1">
        <v>12</v>
      </c>
      <c r="L203" s="1" t="s">
        <v>19</v>
      </c>
      <c r="M203" s="1" t="s">
        <v>30</v>
      </c>
      <c r="N203" s="1">
        <v>66</v>
      </c>
      <c r="O203" s="3" t="s">
        <v>31</v>
      </c>
    </row>
    <row r="204" spans="1:15" x14ac:dyDescent="0.25">
      <c r="A204" s="2" t="s">
        <v>241</v>
      </c>
      <c r="B204" s="1">
        <v>46</v>
      </c>
      <c r="C204" s="1" t="s">
        <v>28</v>
      </c>
      <c r="D204" s="1" t="s">
        <v>24</v>
      </c>
      <c r="E204" s="1" t="s">
        <v>35</v>
      </c>
      <c r="F204" s="1">
        <v>65124</v>
      </c>
      <c r="G204" s="1">
        <v>5</v>
      </c>
      <c r="H204" s="1">
        <v>5</v>
      </c>
      <c r="I204" s="1">
        <v>1</v>
      </c>
      <c r="J204" s="1" t="s">
        <v>19</v>
      </c>
      <c r="K204" s="1">
        <v>7</v>
      </c>
      <c r="L204" s="1" t="s">
        <v>20</v>
      </c>
      <c r="M204" s="1" t="s">
        <v>21</v>
      </c>
      <c r="N204" s="1">
        <v>10</v>
      </c>
      <c r="O204" s="3" t="s">
        <v>31</v>
      </c>
    </row>
    <row r="205" spans="1:15" x14ac:dyDescent="0.25">
      <c r="A205" s="2" t="s">
        <v>242</v>
      </c>
      <c r="B205" s="1">
        <v>46</v>
      </c>
      <c r="C205" s="1" t="s">
        <v>28</v>
      </c>
      <c r="D205" s="1" t="s">
        <v>49</v>
      </c>
      <c r="E205" s="1" t="s">
        <v>35</v>
      </c>
      <c r="F205" s="1">
        <v>19382</v>
      </c>
      <c r="G205" s="1">
        <v>1</v>
      </c>
      <c r="H205" s="1">
        <v>3</v>
      </c>
      <c r="I205" s="1">
        <v>2</v>
      </c>
      <c r="J205" s="1" t="s">
        <v>19</v>
      </c>
      <c r="K205" s="1">
        <v>14</v>
      </c>
      <c r="L205" s="1" t="s">
        <v>20</v>
      </c>
      <c r="M205" s="1" t="s">
        <v>30</v>
      </c>
      <c r="N205" s="1">
        <v>64</v>
      </c>
      <c r="O205" s="3" t="s">
        <v>31</v>
      </c>
    </row>
    <row r="206" spans="1:15" x14ac:dyDescent="0.25">
      <c r="A206" s="2" t="s">
        <v>243</v>
      </c>
      <c r="B206" s="1">
        <v>53</v>
      </c>
      <c r="C206" s="1" t="s">
        <v>16</v>
      </c>
      <c r="D206" s="1" t="s">
        <v>29</v>
      </c>
      <c r="E206" s="1" t="s">
        <v>35</v>
      </c>
      <c r="F206" s="1">
        <v>81277</v>
      </c>
      <c r="G206" s="1">
        <v>1</v>
      </c>
      <c r="H206" s="1">
        <v>3</v>
      </c>
      <c r="I206" s="1">
        <v>4</v>
      </c>
      <c r="J206" s="1" t="s">
        <v>19</v>
      </c>
      <c r="K206" s="1">
        <v>3</v>
      </c>
      <c r="L206" s="1" t="s">
        <v>19</v>
      </c>
      <c r="M206" s="1" t="s">
        <v>30</v>
      </c>
      <c r="N206" s="1">
        <v>44</v>
      </c>
      <c r="O206" s="3" t="s">
        <v>36</v>
      </c>
    </row>
    <row r="207" spans="1:15" x14ac:dyDescent="0.25">
      <c r="A207" s="2" t="s">
        <v>244</v>
      </c>
      <c r="B207" s="1">
        <v>50</v>
      </c>
      <c r="C207" s="1" t="s">
        <v>16</v>
      </c>
      <c r="D207" s="1" t="s">
        <v>24</v>
      </c>
      <c r="E207" s="1" t="s">
        <v>33</v>
      </c>
      <c r="F207" s="1">
        <v>63652</v>
      </c>
      <c r="G207" s="1">
        <v>4</v>
      </c>
      <c r="H207" s="1">
        <v>1</v>
      </c>
      <c r="I207" s="1">
        <v>4</v>
      </c>
      <c r="J207" s="1" t="s">
        <v>20</v>
      </c>
      <c r="K207" s="1">
        <v>10</v>
      </c>
      <c r="L207" s="1" t="s">
        <v>19</v>
      </c>
      <c r="M207" s="1" t="s">
        <v>30</v>
      </c>
      <c r="N207" s="1">
        <v>10</v>
      </c>
      <c r="O207" s="3" t="s">
        <v>22</v>
      </c>
    </row>
    <row r="208" spans="1:15" x14ac:dyDescent="0.25">
      <c r="A208" s="2" t="s">
        <v>245</v>
      </c>
      <c r="B208" s="1">
        <v>22</v>
      </c>
      <c r="C208" s="1" t="s">
        <v>28</v>
      </c>
      <c r="D208" s="1" t="s">
        <v>17</v>
      </c>
      <c r="E208" s="1" t="s">
        <v>35</v>
      </c>
      <c r="F208" s="1">
        <v>106754</v>
      </c>
      <c r="G208" s="1">
        <v>2</v>
      </c>
      <c r="H208" s="1">
        <v>2</v>
      </c>
      <c r="I208" s="1">
        <v>5</v>
      </c>
      <c r="J208" s="1" t="s">
        <v>19</v>
      </c>
      <c r="K208" s="1">
        <v>17</v>
      </c>
      <c r="L208" s="1" t="s">
        <v>19</v>
      </c>
      <c r="M208" s="1" t="s">
        <v>30</v>
      </c>
      <c r="N208" s="1">
        <v>76</v>
      </c>
      <c r="O208" s="3" t="s">
        <v>42</v>
      </c>
    </row>
    <row r="209" spans="1:15" x14ac:dyDescent="0.25">
      <c r="A209" s="2" t="s">
        <v>246</v>
      </c>
      <c r="B209" s="1">
        <v>50</v>
      </c>
      <c r="C209" s="1" t="s">
        <v>16</v>
      </c>
      <c r="D209" s="1" t="s">
        <v>49</v>
      </c>
      <c r="E209" s="1" t="s">
        <v>38</v>
      </c>
      <c r="F209" s="1">
        <v>42176</v>
      </c>
      <c r="G209" s="1">
        <v>2</v>
      </c>
      <c r="H209" s="1">
        <v>4</v>
      </c>
      <c r="I209" s="1">
        <v>4</v>
      </c>
      <c r="J209" s="1" t="s">
        <v>19</v>
      </c>
      <c r="K209" s="1">
        <v>19</v>
      </c>
      <c r="L209" s="1" t="s">
        <v>19</v>
      </c>
      <c r="M209" s="1" t="s">
        <v>30</v>
      </c>
      <c r="N209" s="1">
        <v>80</v>
      </c>
      <c r="O209" s="3" t="s">
        <v>42</v>
      </c>
    </row>
    <row r="210" spans="1:15" x14ac:dyDescent="0.25">
      <c r="A210" s="2" t="s">
        <v>247</v>
      </c>
      <c r="B210" s="1">
        <v>45</v>
      </c>
      <c r="C210" s="1" t="s">
        <v>16</v>
      </c>
      <c r="D210" s="1" t="s">
        <v>17</v>
      </c>
      <c r="E210" s="1" t="s">
        <v>41</v>
      </c>
      <c r="F210" s="1">
        <v>44972</v>
      </c>
      <c r="G210" s="1">
        <v>3</v>
      </c>
      <c r="H210" s="1">
        <v>1</v>
      </c>
      <c r="I210" s="1">
        <v>5</v>
      </c>
      <c r="J210" s="1" t="s">
        <v>19</v>
      </c>
      <c r="K210" s="1">
        <v>17</v>
      </c>
      <c r="L210" s="1" t="s">
        <v>19</v>
      </c>
      <c r="M210" s="1" t="s">
        <v>30</v>
      </c>
      <c r="N210" s="1">
        <v>46</v>
      </c>
      <c r="O210" s="3" t="s">
        <v>44</v>
      </c>
    </row>
    <row r="211" spans="1:15" x14ac:dyDescent="0.25">
      <c r="A211" s="2" t="s">
        <v>248</v>
      </c>
      <c r="B211" s="1">
        <v>50</v>
      </c>
      <c r="C211" s="1" t="s">
        <v>16</v>
      </c>
      <c r="D211" s="1" t="s">
        <v>29</v>
      </c>
      <c r="E211" s="1" t="s">
        <v>38</v>
      </c>
      <c r="F211" s="1">
        <v>82157</v>
      </c>
      <c r="G211" s="1">
        <v>5</v>
      </c>
      <c r="H211" s="1">
        <v>3</v>
      </c>
      <c r="I211" s="1">
        <v>5</v>
      </c>
      <c r="J211" s="1" t="s">
        <v>20</v>
      </c>
      <c r="K211" s="1">
        <v>19</v>
      </c>
      <c r="L211" s="1" t="s">
        <v>20</v>
      </c>
      <c r="M211" s="1" t="s">
        <v>26</v>
      </c>
      <c r="N211" s="1">
        <v>19</v>
      </c>
      <c r="O211" s="3" t="s">
        <v>36</v>
      </c>
    </row>
    <row r="212" spans="1:15" x14ac:dyDescent="0.25">
      <c r="A212" s="2" t="s">
        <v>249</v>
      </c>
      <c r="B212" s="1"/>
      <c r="C212" s="1" t="s">
        <v>28</v>
      </c>
      <c r="D212" s="1" t="s">
        <v>24</v>
      </c>
      <c r="E212" s="1" t="s">
        <v>41</v>
      </c>
      <c r="F212" s="1">
        <v>106288</v>
      </c>
      <c r="G212" s="1">
        <v>3</v>
      </c>
      <c r="H212" s="1">
        <v>5</v>
      </c>
      <c r="I212" s="1">
        <v>5</v>
      </c>
      <c r="J212" s="1" t="s">
        <v>19</v>
      </c>
      <c r="K212" s="1">
        <v>4</v>
      </c>
      <c r="L212" s="1" t="s">
        <v>20</v>
      </c>
      <c r="M212" s="1" t="s">
        <v>21</v>
      </c>
      <c r="N212" s="1">
        <v>35</v>
      </c>
      <c r="O212" s="3" t="s">
        <v>36</v>
      </c>
    </row>
    <row r="213" spans="1:15" x14ac:dyDescent="0.25">
      <c r="A213" s="2" t="s">
        <v>250</v>
      </c>
      <c r="B213" s="1">
        <v>28</v>
      </c>
      <c r="C213" s="1" t="s">
        <v>16</v>
      </c>
      <c r="D213" s="1" t="s">
        <v>29</v>
      </c>
      <c r="E213" s="1" t="s">
        <v>38</v>
      </c>
      <c r="F213" s="1">
        <v>36528</v>
      </c>
      <c r="G213" s="1">
        <v>5</v>
      </c>
      <c r="H213" s="1">
        <v>4</v>
      </c>
      <c r="I213" s="1">
        <v>4</v>
      </c>
      <c r="J213" s="1" t="s">
        <v>19</v>
      </c>
      <c r="K213" s="1">
        <v>18</v>
      </c>
      <c r="L213" s="1" t="s">
        <v>20</v>
      </c>
      <c r="M213" s="1" t="s">
        <v>30</v>
      </c>
      <c r="N213" s="1">
        <v>28</v>
      </c>
      <c r="O213" s="3" t="s">
        <v>42</v>
      </c>
    </row>
    <row r="214" spans="1:15" x14ac:dyDescent="0.25">
      <c r="A214" s="2" t="s">
        <v>251</v>
      </c>
      <c r="B214" s="1">
        <v>55</v>
      </c>
      <c r="C214" s="1" t="s">
        <v>16</v>
      </c>
      <c r="D214" s="1" t="s">
        <v>24</v>
      </c>
      <c r="E214" s="1" t="s">
        <v>41</v>
      </c>
      <c r="F214" s="1">
        <v>82178</v>
      </c>
      <c r="G214" s="1">
        <v>3</v>
      </c>
      <c r="H214" s="1">
        <v>2</v>
      </c>
      <c r="I214" s="1">
        <v>2</v>
      </c>
      <c r="J214" s="1" t="s">
        <v>20</v>
      </c>
      <c r="K214" s="1">
        <v>14</v>
      </c>
      <c r="L214" s="1" t="s">
        <v>19</v>
      </c>
      <c r="M214" s="1" t="s">
        <v>30</v>
      </c>
      <c r="N214" s="1">
        <v>6</v>
      </c>
      <c r="O214" s="3" t="s">
        <v>42</v>
      </c>
    </row>
    <row r="215" spans="1:15" x14ac:dyDescent="0.25">
      <c r="A215" s="2" t="s">
        <v>252</v>
      </c>
      <c r="B215" s="1">
        <v>29</v>
      </c>
      <c r="C215" s="1" t="s">
        <v>16</v>
      </c>
      <c r="D215" s="1" t="s">
        <v>49</v>
      </c>
      <c r="E215" s="1" t="s">
        <v>25</v>
      </c>
      <c r="F215" s="1">
        <v>84248</v>
      </c>
      <c r="G215" s="1">
        <v>4</v>
      </c>
      <c r="H215" s="1"/>
      <c r="I215" s="1">
        <v>4</v>
      </c>
      <c r="J215" s="1" t="s">
        <v>20</v>
      </c>
      <c r="K215" s="1">
        <v>14</v>
      </c>
      <c r="L215" s="1" t="s">
        <v>20</v>
      </c>
      <c r="M215" s="1" t="s">
        <v>21</v>
      </c>
      <c r="N215" s="1">
        <v>15</v>
      </c>
      <c r="O215" s="3" t="s">
        <v>31</v>
      </c>
    </row>
    <row r="216" spans="1:15" x14ac:dyDescent="0.25">
      <c r="A216" s="2" t="s">
        <v>253</v>
      </c>
      <c r="B216" s="1">
        <v>22</v>
      </c>
      <c r="C216" s="1" t="s">
        <v>16</v>
      </c>
      <c r="D216" s="1" t="s">
        <v>29</v>
      </c>
      <c r="E216" s="1" t="s">
        <v>35</v>
      </c>
      <c r="F216" s="1">
        <v>54025</v>
      </c>
      <c r="G216" s="1"/>
      <c r="H216" s="1">
        <v>5</v>
      </c>
      <c r="I216" s="1">
        <v>3</v>
      </c>
      <c r="J216" s="1" t="s">
        <v>19</v>
      </c>
      <c r="K216" s="1">
        <v>14</v>
      </c>
      <c r="L216" s="1" t="s">
        <v>20</v>
      </c>
      <c r="M216" s="1" t="s">
        <v>26</v>
      </c>
      <c r="N216" s="1">
        <v>70</v>
      </c>
      <c r="O216" s="3" t="s">
        <v>22</v>
      </c>
    </row>
    <row r="217" spans="1:15" x14ac:dyDescent="0.25">
      <c r="A217" s="2" t="s">
        <v>254</v>
      </c>
      <c r="B217" s="1">
        <v>57</v>
      </c>
      <c r="C217" s="1" t="s">
        <v>16</v>
      </c>
      <c r="D217" s="1" t="s">
        <v>29</v>
      </c>
      <c r="E217" s="1" t="s">
        <v>25</v>
      </c>
      <c r="F217" s="1">
        <v>66085</v>
      </c>
      <c r="G217" s="1">
        <v>5</v>
      </c>
      <c r="H217" s="1">
        <v>1</v>
      </c>
      <c r="I217" s="1">
        <v>4</v>
      </c>
      <c r="J217" s="1" t="s">
        <v>19</v>
      </c>
      <c r="K217" s="1">
        <v>13</v>
      </c>
      <c r="L217" s="1" t="s">
        <v>19</v>
      </c>
      <c r="M217" s="1" t="s">
        <v>26</v>
      </c>
      <c r="N217" s="1">
        <v>36</v>
      </c>
      <c r="O217" s="3" t="s">
        <v>36</v>
      </c>
    </row>
    <row r="218" spans="1:15" x14ac:dyDescent="0.25">
      <c r="A218" s="2" t="s">
        <v>255</v>
      </c>
      <c r="B218" s="1">
        <v>23</v>
      </c>
      <c r="C218" s="1" t="s">
        <v>28</v>
      </c>
      <c r="D218" s="1" t="s">
        <v>29</v>
      </c>
      <c r="E218" s="1" t="s">
        <v>18</v>
      </c>
      <c r="F218" s="1">
        <v>29401</v>
      </c>
      <c r="G218" s="1">
        <v>4</v>
      </c>
      <c r="H218" s="1">
        <v>1</v>
      </c>
      <c r="I218" s="1">
        <v>2</v>
      </c>
      <c r="J218" s="1" t="s">
        <v>19</v>
      </c>
      <c r="K218" s="1">
        <v>18</v>
      </c>
      <c r="L218" s="1" t="s">
        <v>20</v>
      </c>
      <c r="M218" s="1" t="s">
        <v>26</v>
      </c>
      <c r="N218" s="1">
        <v>59</v>
      </c>
      <c r="O218" s="3" t="s">
        <v>44</v>
      </c>
    </row>
    <row r="219" spans="1:15" x14ac:dyDescent="0.25">
      <c r="A219" s="2" t="s">
        <v>256</v>
      </c>
      <c r="B219" s="1">
        <v>29</v>
      </c>
      <c r="C219" s="1" t="s">
        <v>16</v>
      </c>
      <c r="D219" s="1" t="s">
        <v>51</v>
      </c>
      <c r="E219" s="1" t="s">
        <v>35</v>
      </c>
      <c r="F219" s="1">
        <v>92720</v>
      </c>
      <c r="G219" s="1">
        <v>3</v>
      </c>
      <c r="H219" s="1"/>
      <c r="I219" s="1">
        <v>3</v>
      </c>
      <c r="J219" s="1" t="s">
        <v>19</v>
      </c>
      <c r="K219" s="1">
        <v>10</v>
      </c>
      <c r="L219" s="1" t="s">
        <v>20</v>
      </c>
      <c r="M219" s="1" t="s">
        <v>30</v>
      </c>
      <c r="N219" s="1">
        <v>78</v>
      </c>
      <c r="O219" s="3" t="s">
        <v>36</v>
      </c>
    </row>
    <row r="220" spans="1:15" x14ac:dyDescent="0.25">
      <c r="A220" s="2" t="s">
        <v>257</v>
      </c>
      <c r="B220" s="1">
        <v>53</v>
      </c>
      <c r="C220" s="1" t="s">
        <v>16</v>
      </c>
      <c r="D220" s="1" t="s">
        <v>51</v>
      </c>
      <c r="E220" s="1" t="s">
        <v>33</v>
      </c>
      <c r="F220" s="1">
        <v>25770</v>
      </c>
      <c r="G220" s="1">
        <v>3</v>
      </c>
      <c r="H220" s="1">
        <v>2</v>
      </c>
      <c r="I220" s="1">
        <v>2</v>
      </c>
      <c r="J220" s="1" t="s">
        <v>19</v>
      </c>
      <c r="K220" s="1">
        <v>4</v>
      </c>
      <c r="L220" s="1" t="s">
        <v>20</v>
      </c>
      <c r="M220" s="1" t="s">
        <v>21</v>
      </c>
      <c r="N220" s="1">
        <v>55</v>
      </c>
      <c r="O220" s="3" t="s">
        <v>42</v>
      </c>
    </row>
    <row r="221" spans="1:15" x14ac:dyDescent="0.25">
      <c r="A221" s="2" t="s">
        <v>258</v>
      </c>
      <c r="B221" s="1">
        <v>30</v>
      </c>
      <c r="C221" s="1" t="s">
        <v>28</v>
      </c>
      <c r="D221" s="1" t="s">
        <v>17</v>
      </c>
      <c r="E221" s="1" t="s">
        <v>33</v>
      </c>
      <c r="F221" s="1">
        <v>67174</v>
      </c>
      <c r="G221" s="1">
        <v>4</v>
      </c>
      <c r="H221" s="1">
        <v>1</v>
      </c>
      <c r="I221" s="1"/>
      <c r="J221" s="1" t="s">
        <v>20</v>
      </c>
      <c r="K221" s="1">
        <v>16</v>
      </c>
      <c r="L221" s="1" t="s">
        <v>20</v>
      </c>
      <c r="M221" s="1" t="s">
        <v>26</v>
      </c>
      <c r="N221" s="1">
        <v>52</v>
      </c>
      <c r="O221" s="3" t="s">
        <v>42</v>
      </c>
    </row>
    <row r="222" spans="1:15" x14ac:dyDescent="0.25">
      <c r="A222" s="2" t="s">
        <v>259</v>
      </c>
      <c r="B222" s="1">
        <v>52</v>
      </c>
      <c r="C222" s="1" t="s">
        <v>28</v>
      </c>
      <c r="D222" s="1" t="s">
        <v>24</v>
      </c>
      <c r="E222" s="1" t="s">
        <v>35</v>
      </c>
      <c r="F222" s="1">
        <v>119467</v>
      </c>
      <c r="G222" s="1">
        <v>1</v>
      </c>
      <c r="H222" s="1">
        <v>4</v>
      </c>
      <c r="I222" s="1">
        <v>3</v>
      </c>
      <c r="J222" s="1" t="s">
        <v>19</v>
      </c>
      <c r="K222" s="1">
        <v>17</v>
      </c>
      <c r="L222" s="1" t="s">
        <v>20</v>
      </c>
      <c r="M222" s="1" t="s">
        <v>21</v>
      </c>
      <c r="N222" s="1">
        <v>59</v>
      </c>
      <c r="O222" s="3" t="s">
        <v>44</v>
      </c>
    </row>
    <row r="223" spans="1:15" x14ac:dyDescent="0.25">
      <c r="A223" s="2" t="s">
        <v>260</v>
      </c>
      <c r="B223" s="1">
        <v>52</v>
      </c>
      <c r="C223" s="1" t="s">
        <v>28</v>
      </c>
      <c r="D223" s="1" t="s">
        <v>29</v>
      </c>
      <c r="E223" s="1" t="s">
        <v>18</v>
      </c>
      <c r="F223" s="1">
        <v>62270</v>
      </c>
      <c r="G223" s="1">
        <v>5</v>
      </c>
      <c r="H223" s="1">
        <v>5</v>
      </c>
      <c r="I223" s="1">
        <v>2</v>
      </c>
      <c r="J223" s="1" t="s">
        <v>20</v>
      </c>
      <c r="K223" s="1">
        <v>10</v>
      </c>
      <c r="L223" s="1" t="s">
        <v>19</v>
      </c>
      <c r="M223" s="1" t="s">
        <v>21</v>
      </c>
      <c r="N223" s="1">
        <v>17</v>
      </c>
      <c r="O223" s="3" t="s">
        <v>42</v>
      </c>
    </row>
    <row r="224" spans="1:15" x14ac:dyDescent="0.25">
      <c r="A224" s="2" t="s">
        <v>261</v>
      </c>
      <c r="B224" s="1">
        <v>22</v>
      </c>
      <c r="C224" s="1" t="s">
        <v>16</v>
      </c>
      <c r="D224" s="1" t="s">
        <v>51</v>
      </c>
      <c r="E224" s="1" t="s">
        <v>33</v>
      </c>
      <c r="F224" s="1">
        <v>77836</v>
      </c>
      <c r="G224" s="1">
        <v>1</v>
      </c>
      <c r="H224" s="1">
        <v>4</v>
      </c>
      <c r="I224" s="1"/>
      <c r="J224" s="1" t="s">
        <v>19</v>
      </c>
      <c r="K224" s="1">
        <v>20</v>
      </c>
      <c r="L224" s="1" t="s">
        <v>20</v>
      </c>
      <c r="M224" s="1" t="s">
        <v>21</v>
      </c>
      <c r="N224" s="1">
        <v>40</v>
      </c>
      <c r="O224" s="3" t="s">
        <v>22</v>
      </c>
    </row>
    <row r="225" spans="1:15" x14ac:dyDescent="0.25">
      <c r="A225" s="2" t="s">
        <v>262</v>
      </c>
      <c r="B225" s="1">
        <v>44</v>
      </c>
      <c r="C225" s="1" t="s">
        <v>28</v>
      </c>
      <c r="D225" s="1" t="s">
        <v>40</v>
      </c>
      <c r="E225" s="1" t="s">
        <v>18</v>
      </c>
      <c r="F225" s="1"/>
      <c r="G225" s="1">
        <v>2</v>
      </c>
      <c r="H225" s="1">
        <v>1</v>
      </c>
      <c r="I225" s="1">
        <v>4</v>
      </c>
      <c r="J225" s="1" t="s">
        <v>20</v>
      </c>
      <c r="K225" s="1">
        <v>7</v>
      </c>
      <c r="L225" s="1" t="s">
        <v>20</v>
      </c>
      <c r="M225" s="1" t="s">
        <v>26</v>
      </c>
      <c r="N225" s="1">
        <v>16</v>
      </c>
      <c r="O225" s="3" t="s">
        <v>22</v>
      </c>
    </row>
    <row r="226" spans="1:15" x14ac:dyDescent="0.25">
      <c r="A226" s="2" t="s">
        <v>263</v>
      </c>
      <c r="B226" s="1">
        <v>21</v>
      </c>
      <c r="C226" s="1" t="s">
        <v>16</v>
      </c>
      <c r="D226" s="1" t="s">
        <v>49</v>
      </c>
      <c r="E226" s="1" t="s">
        <v>35</v>
      </c>
      <c r="F226" s="1">
        <v>35393</v>
      </c>
      <c r="G226" s="1">
        <v>5</v>
      </c>
      <c r="H226" s="1">
        <v>2</v>
      </c>
      <c r="I226" s="1">
        <v>5</v>
      </c>
      <c r="J226" s="1" t="s">
        <v>20</v>
      </c>
      <c r="K226" s="1">
        <v>0</v>
      </c>
      <c r="L226" s="1" t="s">
        <v>19</v>
      </c>
      <c r="M226" s="1" t="s">
        <v>26</v>
      </c>
      <c r="N226" s="1">
        <v>48</v>
      </c>
      <c r="O226" s="3" t="s">
        <v>22</v>
      </c>
    </row>
    <row r="227" spans="1:15" x14ac:dyDescent="0.25">
      <c r="A227" s="2" t="s">
        <v>264</v>
      </c>
      <c r="B227" s="1">
        <v>48</v>
      </c>
      <c r="C227" s="1" t="s">
        <v>16</v>
      </c>
      <c r="D227" s="1" t="s">
        <v>49</v>
      </c>
      <c r="E227" s="1" t="s">
        <v>35</v>
      </c>
      <c r="F227" s="1">
        <v>48008</v>
      </c>
      <c r="G227" s="1">
        <v>4</v>
      </c>
      <c r="H227" s="1">
        <v>1</v>
      </c>
      <c r="I227" s="1">
        <v>1</v>
      </c>
      <c r="J227" s="1" t="s">
        <v>19</v>
      </c>
      <c r="K227" s="1">
        <v>10</v>
      </c>
      <c r="L227" s="1" t="s">
        <v>20</v>
      </c>
      <c r="M227" s="1" t="s">
        <v>30</v>
      </c>
      <c r="N227" s="1">
        <v>22</v>
      </c>
      <c r="O227" s="3" t="s">
        <v>42</v>
      </c>
    </row>
    <row r="228" spans="1:15" x14ac:dyDescent="0.25">
      <c r="A228" s="2" t="s">
        <v>265</v>
      </c>
      <c r="B228" s="1">
        <v>29</v>
      </c>
      <c r="C228" s="1" t="s">
        <v>16</v>
      </c>
      <c r="D228" s="1" t="s">
        <v>40</v>
      </c>
      <c r="E228" s="1" t="s">
        <v>25</v>
      </c>
      <c r="F228" s="1">
        <v>91831</v>
      </c>
      <c r="G228" s="1">
        <v>1</v>
      </c>
      <c r="H228" s="1">
        <v>5</v>
      </c>
      <c r="I228" s="1">
        <v>2</v>
      </c>
      <c r="J228" s="1" t="s">
        <v>20</v>
      </c>
      <c r="K228" s="1">
        <v>11</v>
      </c>
      <c r="L228" s="1" t="s">
        <v>19</v>
      </c>
      <c r="M228" s="1" t="s">
        <v>26</v>
      </c>
      <c r="N228" s="1">
        <v>24</v>
      </c>
      <c r="O228" s="3" t="s">
        <v>42</v>
      </c>
    </row>
    <row r="229" spans="1:15" x14ac:dyDescent="0.25">
      <c r="A229" s="2" t="s">
        <v>266</v>
      </c>
      <c r="B229" s="1">
        <v>49</v>
      </c>
      <c r="C229" s="1" t="s">
        <v>16</v>
      </c>
      <c r="D229" s="1" t="s">
        <v>40</v>
      </c>
      <c r="E229" s="1" t="s">
        <v>35</v>
      </c>
      <c r="F229" s="1">
        <v>36351</v>
      </c>
      <c r="G229" s="1">
        <v>1</v>
      </c>
      <c r="H229" s="1">
        <v>5</v>
      </c>
      <c r="I229" s="1">
        <v>4</v>
      </c>
      <c r="J229" s="1" t="s">
        <v>20</v>
      </c>
      <c r="K229" s="1">
        <v>13</v>
      </c>
      <c r="L229" s="1" t="s">
        <v>20</v>
      </c>
      <c r="M229" s="1" t="s">
        <v>21</v>
      </c>
      <c r="N229" s="1">
        <v>36</v>
      </c>
      <c r="O229" s="3" t="s">
        <v>36</v>
      </c>
    </row>
    <row r="230" spans="1:15" x14ac:dyDescent="0.25">
      <c r="A230" s="2" t="s">
        <v>267</v>
      </c>
      <c r="B230" s="1">
        <v>26</v>
      </c>
      <c r="C230" s="1" t="s">
        <v>16</v>
      </c>
      <c r="D230" s="1" t="s">
        <v>24</v>
      </c>
      <c r="E230" s="1" t="s">
        <v>25</v>
      </c>
      <c r="F230" s="1">
        <v>96644</v>
      </c>
      <c r="G230" s="1">
        <v>5</v>
      </c>
      <c r="H230" s="1">
        <v>3</v>
      </c>
      <c r="I230" s="1">
        <v>1</v>
      </c>
      <c r="J230" s="1" t="s">
        <v>20</v>
      </c>
      <c r="K230" s="1">
        <v>6</v>
      </c>
      <c r="L230" s="1" t="s">
        <v>19</v>
      </c>
      <c r="M230" s="1" t="s">
        <v>26</v>
      </c>
      <c r="N230" s="1">
        <v>55</v>
      </c>
      <c r="O230" s="3" t="s">
        <v>36</v>
      </c>
    </row>
    <row r="231" spans="1:15" x14ac:dyDescent="0.25">
      <c r="A231" s="2" t="s">
        <v>268</v>
      </c>
      <c r="B231" s="1">
        <v>24</v>
      </c>
      <c r="C231" s="1" t="s">
        <v>16</v>
      </c>
      <c r="D231" s="1" t="s">
        <v>49</v>
      </c>
      <c r="E231" s="1" t="s">
        <v>33</v>
      </c>
      <c r="F231" s="1">
        <v>32777</v>
      </c>
      <c r="G231" s="1">
        <v>2</v>
      </c>
      <c r="H231" s="1">
        <v>4</v>
      </c>
      <c r="I231" s="1">
        <v>5</v>
      </c>
      <c r="J231" s="1" t="s">
        <v>19</v>
      </c>
      <c r="K231" s="1">
        <v>16</v>
      </c>
      <c r="L231" s="1" t="s">
        <v>19</v>
      </c>
      <c r="M231" s="1" t="s">
        <v>30</v>
      </c>
      <c r="N231" s="1">
        <v>45</v>
      </c>
      <c r="O231" s="3" t="s">
        <v>44</v>
      </c>
    </row>
    <row r="232" spans="1:15" x14ac:dyDescent="0.25">
      <c r="A232" s="2" t="s">
        <v>269</v>
      </c>
      <c r="B232" s="1">
        <v>45</v>
      </c>
      <c r="C232" s="1" t="s">
        <v>28</v>
      </c>
      <c r="D232" s="1" t="s">
        <v>29</v>
      </c>
      <c r="E232" s="1" t="s">
        <v>25</v>
      </c>
      <c r="F232" s="1">
        <v>107514</v>
      </c>
      <c r="G232" s="1">
        <v>2</v>
      </c>
      <c r="H232" s="1">
        <v>4</v>
      </c>
      <c r="I232" s="1">
        <v>1</v>
      </c>
      <c r="J232" s="1" t="s">
        <v>19</v>
      </c>
      <c r="K232" s="1">
        <v>18</v>
      </c>
      <c r="L232" s="1" t="s">
        <v>19</v>
      </c>
      <c r="M232" s="1" t="s">
        <v>21</v>
      </c>
      <c r="N232" s="1">
        <v>38</v>
      </c>
      <c r="O232" s="3" t="s">
        <v>44</v>
      </c>
    </row>
    <row r="233" spans="1:15" x14ac:dyDescent="0.25">
      <c r="A233" s="2" t="s">
        <v>270</v>
      </c>
      <c r="B233" s="1">
        <v>23</v>
      </c>
      <c r="C233" s="1" t="s">
        <v>16</v>
      </c>
      <c r="D233" s="1" t="s">
        <v>49</v>
      </c>
      <c r="E233" s="1" t="s">
        <v>25</v>
      </c>
      <c r="F233" s="1">
        <v>55550</v>
      </c>
      <c r="G233" s="1">
        <v>5</v>
      </c>
      <c r="H233" s="1">
        <v>4</v>
      </c>
      <c r="I233" s="1">
        <v>4</v>
      </c>
      <c r="J233" s="1" t="s">
        <v>20</v>
      </c>
      <c r="K233" s="1">
        <v>2</v>
      </c>
      <c r="L233" s="1" t="s">
        <v>19</v>
      </c>
      <c r="M233" s="1" t="s">
        <v>30</v>
      </c>
      <c r="N233" s="1">
        <v>15</v>
      </c>
      <c r="O233" s="3" t="s">
        <v>36</v>
      </c>
    </row>
    <row r="234" spans="1:15" x14ac:dyDescent="0.25">
      <c r="A234" s="2" t="s">
        <v>271</v>
      </c>
      <c r="B234" s="1">
        <v>26</v>
      </c>
      <c r="C234" s="1" t="s">
        <v>16</v>
      </c>
      <c r="D234" s="1" t="s">
        <v>51</v>
      </c>
      <c r="E234" s="1" t="s">
        <v>25</v>
      </c>
      <c r="F234" s="1"/>
      <c r="G234" s="1">
        <v>4</v>
      </c>
      <c r="H234" s="1">
        <v>5</v>
      </c>
      <c r="I234" s="1">
        <v>1</v>
      </c>
      <c r="J234" s="1" t="s">
        <v>20</v>
      </c>
      <c r="K234" s="1">
        <v>13</v>
      </c>
      <c r="L234" s="1" t="s">
        <v>19</v>
      </c>
      <c r="M234" s="1" t="s">
        <v>21</v>
      </c>
      <c r="N234" s="1">
        <v>36</v>
      </c>
      <c r="O234" s="3" t="s">
        <v>22</v>
      </c>
    </row>
    <row r="235" spans="1:15" x14ac:dyDescent="0.25">
      <c r="A235" s="2" t="s">
        <v>272</v>
      </c>
      <c r="B235" s="1">
        <v>48</v>
      </c>
      <c r="C235" s="1" t="s">
        <v>16</v>
      </c>
      <c r="D235" s="1" t="s">
        <v>49</v>
      </c>
      <c r="E235" s="1" t="s">
        <v>25</v>
      </c>
      <c r="F235" s="1">
        <v>97800</v>
      </c>
      <c r="G235" s="1">
        <v>1</v>
      </c>
      <c r="H235" s="1">
        <v>3</v>
      </c>
      <c r="I235" s="1">
        <v>2</v>
      </c>
      <c r="J235" s="1" t="s">
        <v>19</v>
      </c>
      <c r="K235" s="1">
        <v>0</v>
      </c>
      <c r="L235" s="1" t="s">
        <v>19</v>
      </c>
      <c r="M235" s="1" t="s">
        <v>26</v>
      </c>
      <c r="N235" s="1">
        <v>6</v>
      </c>
      <c r="O235" s="3" t="s">
        <v>44</v>
      </c>
    </row>
    <row r="236" spans="1:15" x14ac:dyDescent="0.25">
      <c r="A236" s="2" t="s">
        <v>273</v>
      </c>
      <c r="B236" s="1">
        <v>52</v>
      </c>
      <c r="C236" s="1" t="s">
        <v>28</v>
      </c>
      <c r="D236" s="1" t="s">
        <v>24</v>
      </c>
      <c r="E236" s="1" t="s">
        <v>25</v>
      </c>
      <c r="F236" s="1"/>
      <c r="G236" s="1"/>
      <c r="H236" s="1">
        <v>2</v>
      </c>
      <c r="I236" s="1">
        <v>3</v>
      </c>
      <c r="J236" s="1" t="s">
        <v>19</v>
      </c>
      <c r="K236" s="1">
        <v>8</v>
      </c>
      <c r="L236" s="1" t="s">
        <v>19</v>
      </c>
      <c r="M236" s="1" t="s">
        <v>21</v>
      </c>
      <c r="N236" s="1">
        <v>47</v>
      </c>
      <c r="O236" s="3" t="s">
        <v>42</v>
      </c>
    </row>
    <row r="237" spans="1:15" x14ac:dyDescent="0.25">
      <c r="A237" s="2" t="s">
        <v>274</v>
      </c>
      <c r="B237" s="1">
        <v>38</v>
      </c>
      <c r="C237" s="1" t="s">
        <v>16</v>
      </c>
      <c r="D237" s="1" t="s">
        <v>29</v>
      </c>
      <c r="E237" s="1" t="s">
        <v>38</v>
      </c>
      <c r="F237" s="1">
        <v>93582</v>
      </c>
      <c r="G237" s="1">
        <v>1</v>
      </c>
      <c r="H237" s="1">
        <v>4</v>
      </c>
      <c r="I237" s="1">
        <v>4</v>
      </c>
      <c r="J237" s="1" t="s">
        <v>20</v>
      </c>
      <c r="K237" s="1">
        <v>1</v>
      </c>
      <c r="L237" s="1" t="s">
        <v>20</v>
      </c>
      <c r="M237" s="1" t="s">
        <v>26</v>
      </c>
      <c r="N237" s="1">
        <v>26</v>
      </c>
      <c r="O237" s="3" t="s">
        <v>36</v>
      </c>
    </row>
    <row r="238" spans="1:15" x14ac:dyDescent="0.25">
      <c r="A238" s="2" t="s">
        <v>275</v>
      </c>
      <c r="B238" s="1">
        <v>31</v>
      </c>
      <c r="C238" s="1" t="s">
        <v>28</v>
      </c>
      <c r="D238" s="1" t="s">
        <v>40</v>
      </c>
      <c r="E238" s="1" t="s">
        <v>25</v>
      </c>
      <c r="F238" s="1">
        <v>106358</v>
      </c>
      <c r="G238" s="1">
        <v>1</v>
      </c>
      <c r="H238" s="1">
        <v>2</v>
      </c>
      <c r="I238" s="1"/>
      <c r="J238" s="1" t="s">
        <v>19</v>
      </c>
      <c r="K238" s="1">
        <v>1</v>
      </c>
      <c r="L238" s="1" t="s">
        <v>19</v>
      </c>
      <c r="M238" s="1" t="s">
        <v>21</v>
      </c>
      <c r="N238" s="1">
        <v>10</v>
      </c>
      <c r="O238" s="3" t="s">
        <v>42</v>
      </c>
    </row>
    <row r="239" spans="1:15" x14ac:dyDescent="0.25">
      <c r="A239" s="2" t="s">
        <v>276</v>
      </c>
      <c r="B239" s="1">
        <v>44</v>
      </c>
      <c r="C239" s="1" t="s">
        <v>28</v>
      </c>
      <c r="D239" s="1" t="s">
        <v>51</v>
      </c>
      <c r="E239" s="1" t="s">
        <v>41</v>
      </c>
      <c r="F239" s="1">
        <v>22635</v>
      </c>
      <c r="G239" s="1">
        <v>5</v>
      </c>
      <c r="H239" s="1">
        <v>4</v>
      </c>
      <c r="I239" s="1">
        <v>2</v>
      </c>
      <c r="J239" s="1" t="s">
        <v>20</v>
      </c>
      <c r="K239" s="1">
        <v>7</v>
      </c>
      <c r="L239" s="1" t="s">
        <v>20</v>
      </c>
      <c r="M239" s="1" t="s">
        <v>26</v>
      </c>
      <c r="N239" s="1">
        <v>45</v>
      </c>
      <c r="O239" s="3" t="s">
        <v>36</v>
      </c>
    </row>
    <row r="240" spans="1:15" x14ac:dyDescent="0.25">
      <c r="A240" s="2" t="s">
        <v>277</v>
      </c>
      <c r="B240" s="1">
        <v>25</v>
      </c>
      <c r="C240" s="1" t="s">
        <v>28</v>
      </c>
      <c r="D240" s="1" t="s">
        <v>40</v>
      </c>
      <c r="E240" s="1" t="s">
        <v>25</v>
      </c>
      <c r="F240" s="1">
        <v>106254</v>
      </c>
      <c r="G240" s="1"/>
      <c r="H240" s="1">
        <v>2</v>
      </c>
      <c r="I240" s="1">
        <v>2</v>
      </c>
      <c r="J240" s="1" t="s">
        <v>19</v>
      </c>
      <c r="K240" s="1">
        <v>12</v>
      </c>
      <c r="L240" s="1" t="s">
        <v>19</v>
      </c>
      <c r="M240" s="1" t="s">
        <v>30</v>
      </c>
      <c r="N240" s="1">
        <v>41</v>
      </c>
      <c r="O240" s="3" t="s">
        <v>36</v>
      </c>
    </row>
    <row r="241" spans="1:15" x14ac:dyDescent="0.25">
      <c r="A241" s="2" t="s">
        <v>278</v>
      </c>
      <c r="B241" s="1">
        <v>41</v>
      </c>
      <c r="C241" s="1" t="s">
        <v>16</v>
      </c>
      <c r="D241" s="1" t="s">
        <v>24</v>
      </c>
      <c r="E241" s="1" t="s">
        <v>33</v>
      </c>
      <c r="F241" s="1">
        <v>19044</v>
      </c>
      <c r="G241" s="1">
        <v>3</v>
      </c>
      <c r="H241" s="1">
        <v>2</v>
      </c>
      <c r="I241" s="1">
        <v>3</v>
      </c>
      <c r="J241" s="1" t="s">
        <v>20</v>
      </c>
      <c r="K241" s="1">
        <v>19</v>
      </c>
      <c r="L241" s="1" t="s">
        <v>19</v>
      </c>
      <c r="M241" s="1" t="s">
        <v>30</v>
      </c>
      <c r="N241" s="1">
        <v>52</v>
      </c>
      <c r="O241" s="3" t="s">
        <v>31</v>
      </c>
    </row>
    <row r="242" spans="1:15" x14ac:dyDescent="0.25">
      <c r="A242" s="2" t="s">
        <v>279</v>
      </c>
      <c r="B242" s="1">
        <v>52</v>
      </c>
      <c r="C242" s="1" t="s">
        <v>16</v>
      </c>
      <c r="D242" s="1" t="s">
        <v>17</v>
      </c>
      <c r="E242" s="1" t="s">
        <v>25</v>
      </c>
      <c r="F242" s="1">
        <v>117677</v>
      </c>
      <c r="G242" s="1">
        <v>2</v>
      </c>
      <c r="H242" s="1"/>
      <c r="I242" s="1">
        <v>1</v>
      </c>
      <c r="J242" s="1" t="s">
        <v>20</v>
      </c>
      <c r="K242" s="1">
        <v>0</v>
      </c>
      <c r="L242" s="1" t="s">
        <v>19</v>
      </c>
      <c r="M242" s="1" t="s">
        <v>26</v>
      </c>
      <c r="N242" s="1">
        <v>49</v>
      </c>
      <c r="O242" s="3" t="s">
        <v>22</v>
      </c>
    </row>
    <row r="243" spans="1:15" x14ac:dyDescent="0.25">
      <c r="A243" s="2" t="s">
        <v>280</v>
      </c>
      <c r="B243" s="1">
        <v>42</v>
      </c>
      <c r="C243" s="1" t="s">
        <v>16</v>
      </c>
      <c r="D243" s="1" t="s">
        <v>17</v>
      </c>
      <c r="E243" s="1" t="s">
        <v>33</v>
      </c>
      <c r="F243" s="1">
        <v>114741</v>
      </c>
      <c r="G243" s="1">
        <v>3</v>
      </c>
      <c r="H243" s="1">
        <v>1</v>
      </c>
      <c r="I243" s="1">
        <v>2</v>
      </c>
      <c r="J243" s="1" t="s">
        <v>19</v>
      </c>
      <c r="K243" s="1">
        <v>13</v>
      </c>
      <c r="L243" s="1" t="s">
        <v>20</v>
      </c>
      <c r="M243" s="1" t="s">
        <v>21</v>
      </c>
      <c r="N243" s="1">
        <v>23</v>
      </c>
      <c r="O243" s="3" t="s">
        <v>36</v>
      </c>
    </row>
    <row r="244" spans="1:15" x14ac:dyDescent="0.25">
      <c r="A244" s="2" t="s">
        <v>281</v>
      </c>
      <c r="B244" s="1">
        <v>26</v>
      </c>
      <c r="C244" s="1" t="s">
        <v>16</v>
      </c>
      <c r="D244" s="1" t="s">
        <v>51</v>
      </c>
      <c r="E244" s="1" t="s">
        <v>25</v>
      </c>
      <c r="F244" s="1">
        <v>72140</v>
      </c>
      <c r="G244" s="1">
        <v>3</v>
      </c>
      <c r="H244" s="1">
        <v>4</v>
      </c>
      <c r="I244" s="1"/>
      <c r="J244" s="1" t="s">
        <v>19</v>
      </c>
      <c r="K244" s="1">
        <v>16</v>
      </c>
      <c r="L244" s="1" t="s">
        <v>19</v>
      </c>
      <c r="M244" s="1" t="s">
        <v>26</v>
      </c>
      <c r="N244" s="1">
        <v>55</v>
      </c>
      <c r="O244" s="3" t="s">
        <v>22</v>
      </c>
    </row>
    <row r="245" spans="1:15" x14ac:dyDescent="0.25">
      <c r="A245" s="2" t="s">
        <v>282</v>
      </c>
      <c r="B245" s="1">
        <v>58</v>
      </c>
      <c r="C245" s="1" t="s">
        <v>16</v>
      </c>
      <c r="D245" s="1" t="s">
        <v>49</v>
      </c>
      <c r="E245" s="1" t="s">
        <v>38</v>
      </c>
      <c r="F245" s="1">
        <v>35132</v>
      </c>
      <c r="G245" s="1">
        <v>2</v>
      </c>
      <c r="H245" s="1">
        <v>3</v>
      </c>
      <c r="I245" s="1">
        <v>3</v>
      </c>
      <c r="J245" s="1" t="s">
        <v>20</v>
      </c>
      <c r="K245" s="1">
        <v>12</v>
      </c>
      <c r="L245" s="1" t="s">
        <v>20</v>
      </c>
      <c r="M245" s="1" t="s">
        <v>30</v>
      </c>
      <c r="N245" s="1">
        <v>62</v>
      </c>
      <c r="O245" s="3" t="s">
        <v>36</v>
      </c>
    </row>
    <row r="246" spans="1:15" x14ac:dyDescent="0.25">
      <c r="A246" s="2" t="s">
        <v>283</v>
      </c>
      <c r="B246" s="1">
        <v>35</v>
      </c>
      <c r="C246" s="1" t="s">
        <v>16</v>
      </c>
      <c r="D246" s="1" t="s">
        <v>51</v>
      </c>
      <c r="E246" s="1" t="s">
        <v>41</v>
      </c>
      <c r="F246" s="1">
        <v>118944</v>
      </c>
      <c r="G246" s="1">
        <v>5</v>
      </c>
      <c r="H246" s="1">
        <v>1</v>
      </c>
      <c r="I246" s="1">
        <v>2</v>
      </c>
      <c r="J246" s="1" t="s">
        <v>19</v>
      </c>
      <c r="K246" s="1">
        <v>5</v>
      </c>
      <c r="L246" s="1" t="s">
        <v>20</v>
      </c>
      <c r="M246" s="1" t="s">
        <v>30</v>
      </c>
      <c r="N246" s="1">
        <v>45</v>
      </c>
      <c r="O246" s="3" t="s">
        <v>42</v>
      </c>
    </row>
    <row r="247" spans="1:15" x14ac:dyDescent="0.25">
      <c r="A247" s="2" t="s">
        <v>284</v>
      </c>
      <c r="B247" s="1">
        <v>28</v>
      </c>
      <c r="C247" s="1" t="s">
        <v>28</v>
      </c>
      <c r="D247" s="1" t="s">
        <v>51</v>
      </c>
      <c r="E247" s="1" t="s">
        <v>33</v>
      </c>
      <c r="F247" s="1">
        <v>58410</v>
      </c>
      <c r="G247" s="1">
        <v>4</v>
      </c>
      <c r="H247" s="1"/>
      <c r="I247" s="1">
        <v>1</v>
      </c>
      <c r="J247" s="1" t="s">
        <v>19</v>
      </c>
      <c r="K247" s="1">
        <v>5</v>
      </c>
      <c r="L247" s="1" t="s">
        <v>20</v>
      </c>
      <c r="M247" s="1" t="s">
        <v>26</v>
      </c>
      <c r="N247" s="1">
        <v>10</v>
      </c>
      <c r="O247" s="3" t="s">
        <v>44</v>
      </c>
    </row>
    <row r="248" spans="1:15" x14ac:dyDescent="0.25">
      <c r="A248" s="2" t="s">
        <v>285</v>
      </c>
      <c r="B248" s="1">
        <v>41</v>
      </c>
      <c r="C248" s="1" t="s">
        <v>16</v>
      </c>
      <c r="D248" s="1" t="s">
        <v>40</v>
      </c>
      <c r="E248" s="1" t="s">
        <v>38</v>
      </c>
      <c r="F248" s="1">
        <v>50534</v>
      </c>
      <c r="G248" s="1">
        <v>3</v>
      </c>
      <c r="H248" s="1">
        <v>4</v>
      </c>
      <c r="I248" s="1">
        <v>5</v>
      </c>
      <c r="J248" s="1" t="s">
        <v>19</v>
      </c>
      <c r="K248" s="1">
        <v>9</v>
      </c>
      <c r="L248" s="1" t="s">
        <v>20</v>
      </c>
      <c r="M248" s="1" t="s">
        <v>21</v>
      </c>
      <c r="N248" s="1">
        <v>8</v>
      </c>
      <c r="O248" s="3" t="s">
        <v>42</v>
      </c>
    </row>
    <row r="249" spans="1:15" x14ac:dyDescent="0.25">
      <c r="A249" s="2" t="s">
        <v>286</v>
      </c>
      <c r="B249" s="1">
        <v>49</v>
      </c>
      <c r="C249" s="1" t="s">
        <v>16</v>
      </c>
      <c r="D249" s="1" t="s">
        <v>40</v>
      </c>
      <c r="E249" s="1" t="s">
        <v>33</v>
      </c>
      <c r="F249" s="1">
        <v>31357</v>
      </c>
      <c r="G249" s="1">
        <v>2</v>
      </c>
      <c r="H249" s="1">
        <v>1</v>
      </c>
      <c r="I249" s="1">
        <v>1</v>
      </c>
      <c r="J249" s="1" t="s">
        <v>19</v>
      </c>
      <c r="K249" s="1">
        <v>7</v>
      </c>
      <c r="L249" s="1" t="s">
        <v>19</v>
      </c>
      <c r="M249" s="1" t="s">
        <v>21</v>
      </c>
      <c r="N249" s="1">
        <v>56</v>
      </c>
      <c r="O249" s="3" t="s">
        <v>36</v>
      </c>
    </row>
    <row r="250" spans="1:15" x14ac:dyDescent="0.25">
      <c r="A250" s="2" t="s">
        <v>287</v>
      </c>
      <c r="B250" s="1">
        <v>26</v>
      </c>
      <c r="C250" s="1" t="s">
        <v>28</v>
      </c>
      <c r="D250" s="1" t="s">
        <v>40</v>
      </c>
      <c r="E250" s="1" t="s">
        <v>35</v>
      </c>
      <c r="F250" s="1">
        <v>26450</v>
      </c>
      <c r="G250" s="1">
        <v>2</v>
      </c>
      <c r="H250" s="1">
        <v>4</v>
      </c>
      <c r="I250" s="1">
        <v>2</v>
      </c>
      <c r="J250" s="1" t="s">
        <v>19</v>
      </c>
      <c r="K250" s="1">
        <v>10</v>
      </c>
      <c r="L250" s="1" t="s">
        <v>19</v>
      </c>
      <c r="M250" s="1" t="s">
        <v>21</v>
      </c>
      <c r="N250" s="1">
        <v>64</v>
      </c>
      <c r="O250" s="3" t="s">
        <v>22</v>
      </c>
    </row>
    <row r="251" spans="1:15" x14ac:dyDescent="0.25">
      <c r="A251" s="2" t="s">
        <v>288</v>
      </c>
      <c r="B251" s="1">
        <v>31</v>
      </c>
      <c r="C251" s="1" t="s">
        <v>28</v>
      </c>
      <c r="D251" s="1" t="s">
        <v>17</v>
      </c>
      <c r="E251" s="1" t="s">
        <v>33</v>
      </c>
      <c r="F251" s="1">
        <v>83028</v>
      </c>
      <c r="G251" s="1">
        <v>1</v>
      </c>
      <c r="H251" s="1">
        <v>4</v>
      </c>
      <c r="I251" s="1">
        <v>4</v>
      </c>
      <c r="J251" s="1" t="s">
        <v>19</v>
      </c>
      <c r="K251" s="1">
        <v>11</v>
      </c>
      <c r="L251" s="1" t="s">
        <v>19</v>
      </c>
      <c r="M251" s="1" t="s">
        <v>21</v>
      </c>
      <c r="N251" s="1">
        <v>40</v>
      </c>
      <c r="O251" s="3" t="s">
        <v>36</v>
      </c>
    </row>
    <row r="252" spans="1:15" x14ac:dyDescent="0.25">
      <c r="A252" s="2" t="s">
        <v>289</v>
      </c>
      <c r="B252" s="1"/>
      <c r="C252" s="1" t="s">
        <v>16</v>
      </c>
      <c r="D252" s="1" t="s">
        <v>40</v>
      </c>
      <c r="E252" s="1" t="s">
        <v>25</v>
      </c>
      <c r="F252" s="1">
        <v>99156</v>
      </c>
      <c r="G252" s="1">
        <v>5</v>
      </c>
      <c r="H252" s="1">
        <v>2</v>
      </c>
      <c r="I252" s="1">
        <v>3</v>
      </c>
      <c r="J252" s="1" t="s">
        <v>20</v>
      </c>
      <c r="K252" s="1">
        <v>13</v>
      </c>
      <c r="L252" s="1" t="s">
        <v>20</v>
      </c>
      <c r="M252" s="1" t="s">
        <v>21</v>
      </c>
      <c r="N252" s="1">
        <v>16</v>
      </c>
      <c r="O252" s="3" t="s">
        <v>36</v>
      </c>
    </row>
    <row r="253" spans="1:15" x14ac:dyDescent="0.25">
      <c r="A253" s="2" t="s">
        <v>290</v>
      </c>
      <c r="B253" s="1">
        <v>45</v>
      </c>
      <c r="C253" s="1" t="s">
        <v>16</v>
      </c>
      <c r="D253" s="1" t="s">
        <v>49</v>
      </c>
      <c r="E253" s="1" t="s">
        <v>41</v>
      </c>
      <c r="F253" s="1">
        <v>102233</v>
      </c>
      <c r="G253" s="1">
        <v>5</v>
      </c>
      <c r="H253" s="1">
        <v>2</v>
      </c>
      <c r="I253" s="1">
        <v>5</v>
      </c>
      <c r="J253" s="1" t="s">
        <v>19</v>
      </c>
      <c r="K253" s="1">
        <v>12</v>
      </c>
      <c r="L253" s="1" t="s">
        <v>20</v>
      </c>
      <c r="M253" s="1" t="s">
        <v>30</v>
      </c>
      <c r="N253" s="1">
        <v>74</v>
      </c>
      <c r="O253" s="3" t="s">
        <v>42</v>
      </c>
    </row>
    <row r="254" spans="1:15" x14ac:dyDescent="0.25">
      <c r="A254" s="2" t="s">
        <v>291</v>
      </c>
      <c r="B254" s="1">
        <v>43</v>
      </c>
      <c r="C254" s="1" t="s">
        <v>28</v>
      </c>
      <c r="D254" s="1" t="s">
        <v>49</v>
      </c>
      <c r="E254" s="1" t="s">
        <v>18</v>
      </c>
      <c r="F254" s="1">
        <v>41568</v>
      </c>
      <c r="G254" s="1">
        <v>1</v>
      </c>
      <c r="H254" s="1">
        <v>3</v>
      </c>
      <c r="I254" s="1">
        <v>5</v>
      </c>
      <c r="J254" s="1" t="s">
        <v>19</v>
      </c>
      <c r="K254" s="1">
        <v>0</v>
      </c>
      <c r="L254" s="1" t="s">
        <v>20</v>
      </c>
      <c r="M254" s="1" t="s">
        <v>21</v>
      </c>
      <c r="N254" s="1">
        <v>65</v>
      </c>
      <c r="O254" s="3" t="s">
        <v>31</v>
      </c>
    </row>
    <row r="255" spans="1:15" x14ac:dyDescent="0.25">
      <c r="A255" s="2" t="s">
        <v>292</v>
      </c>
      <c r="B255" s="1">
        <v>43</v>
      </c>
      <c r="C255" s="1" t="s">
        <v>16</v>
      </c>
      <c r="D255" s="1" t="s">
        <v>51</v>
      </c>
      <c r="E255" s="1" t="s">
        <v>35</v>
      </c>
      <c r="F255" s="1">
        <v>50487</v>
      </c>
      <c r="G255" s="1">
        <v>2</v>
      </c>
      <c r="H255" s="1">
        <v>3</v>
      </c>
      <c r="I255" s="1">
        <v>5</v>
      </c>
      <c r="J255" s="1" t="s">
        <v>19</v>
      </c>
      <c r="K255" s="1">
        <v>7</v>
      </c>
      <c r="L255" s="1" t="s">
        <v>20</v>
      </c>
      <c r="M255" s="1" t="s">
        <v>30</v>
      </c>
      <c r="N255" s="1">
        <v>27</v>
      </c>
      <c r="O255" s="3" t="s">
        <v>44</v>
      </c>
    </row>
    <row r="256" spans="1:15" x14ac:dyDescent="0.25">
      <c r="A256" s="2" t="s">
        <v>293</v>
      </c>
      <c r="B256" s="1">
        <v>36</v>
      </c>
      <c r="C256" s="1" t="s">
        <v>28</v>
      </c>
      <c r="D256" s="1" t="s">
        <v>17</v>
      </c>
      <c r="E256" s="1" t="s">
        <v>38</v>
      </c>
      <c r="F256" s="1">
        <v>65026</v>
      </c>
      <c r="G256" s="1">
        <v>5</v>
      </c>
      <c r="H256" s="1">
        <v>1</v>
      </c>
      <c r="I256" s="1">
        <v>3</v>
      </c>
      <c r="J256" s="1" t="s">
        <v>19</v>
      </c>
      <c r="K256" s="1">
        <v>18</v>
      </c>
      <c r="L256" s="1" t="s">
        <v>19</v>
      </c>
      <c r="M256" s="1" t="s">
        <v>30</v>
      </c>
      <c r="N256" s="1">
        <v>74</v>
      </c>
      <c r="O256" s="3" t="s">
        <v>36</v>
      </c>
    </row>
    <row r="257" spans="1:15" x14ac:dyDescent="0.25">
      <c r="A257" s="2" t="s">
        <v>294</v>
      </c>
      <c r="B257" s="1">
        <v>32</v>
      </c>
      <c r="C257" s="1" t="s">
        <v>28</v>
      </c>
      <c r="D257" s="1" t="s">
        <v>40</v>
      </c>
      <c r="E257" s="1" t="s">
        <v>35</v>
      </c>
      <c r="F257" s="1">
        <v>25362</v>
      </c>
      <c r="G257" s="1">
        <v>2</v>
      </c>
      <c r="H257" s="1">
        <v>5</v>
      </c>
      <c r="I257" s="1">
        <v>2</v>
      </c>
      <c r="J257" s="1" t="s">
        <v>19</v>
      </c>
      <c r="K257" s="1">
        <v>16</v>
      </c>
      <c r="L257" s="1" t="s">
        <v>20</v>
      </c>
      <c r="M257" s="1" t="s">
        <v>21</v>
      </c>
      <c r="N257" s="1">
        <v>47</v>
      </c>
      <c r="O257" s="3" t="s">
        <v>31</v>
      </c>
    </row>
    <row r="258" spans="1:15" x14ac:dyDescent="0.25">
      <c r="A258" s="2" t="s">
        <v>295</v>
      </c>
      <c r="B258" s="1">
        <v>33</v>
      </c>
      <c r="C258" s="1" t="s">
        <v>16</v>
      </c>
      <c r="D258" s="1" t="s">
        <v>29</v>
      </c>
      <c r="E258" s="1" t="s">
        <v>38</v>
      </c>
      <c r="F258" s="1">
        <v>41260</v>
      </c>
      <c r="G258" s="1">
        <v>3</v>
      </c>
      <c r="H258" s="1">
        <v>1</v>
      </c>
      <c r="I258" s="1">
        <v>1</v>
      </c>
      <c r="J258" s="1" t="s">
        <v>19</v>
      </c>
      <c r="K258" s="1">
        <v>18</v>
      </c>
      <c r="L258" s="1" t="s">
        <v>19</v>
      </c>
      <c r="M258" s="1" t="s">
        <v>21</v>
      </c>
      <c r="N258" s="1">
        <v>72</v>
      </c>
      <c r="O258" s="3" t="s">
        <v>36</v>
      </c>
    </row>
    <row r="259" spans="1:15" x14ac:dyDescent="0.25">
      <c r="A259" s="2" t="s">
        <v>296</v>
      </c>
      <c r="B259" s="1">
        <v>25</v>
      </c>
      <c r="C259" s="1" t="s">
        <v>28</v>
      </c>
      <c r="D259" s="1" t="s">
        <v>17</v>
      </c>
      <c r="E259" s="1" t="s">
        <v>38</v>
      </c>
      <c r="F259" s="1">
        <v>69851</v>
      </c>
      <c r="G259" s="1">
        <v>5</v>
      </c>
      <c r="H259" s="1">
        <v>1</v>
      </c>
      <c r="I259" s="1">
        <v>3</v>
      </c>
      <c r="J259" s="1" t="s">
        <v>20</v>
      </c>
      <c r="K259" s="1">
        <v>10</v>
      </c>
      <c r="L259" s="1" t="s">
        <v>19</v>
      </c>
      <c r="M259" s="1" t="s">
        <v>21</v>
      </c>
      <c r="N259" s="1">
        <v>60</v>
      </c>
      <c r="O259" s="3" t="s">
        <v>42</v>
      </c>
    </row>
    <row r="260" spans="1:15" x14ac:dyDescent="0.25">
      <c r="A260" s="2" t="s">
        <v>297</v>
      </c>
      <c r="B260" s="1">
        <v>41</v>
      </c>
      <c r="C260" s="1" t="s">
        <v>16</v>
      </c>
      <c r="D260" s="1" t="s">
        <v>17</v>
      </c>
      <c r="E260" s="1" t="s">
        <v>25</v>
      </c>
      <c r="F260" s="1">
        <v>108906</v>
      </c>
      <c r="G260" s="1">
        <v>5</v>
      </c>
      <c r="H260" s="1"/>
      <c r="I260" s="1">
        <v>2</v>
      </c>
      <c r="J260" s="1" t="s">
        <v>19</v>
      </c>
      <c r="K260" s="1">
        <v>12</v>
      </c>
      <c r="L260" s="1" t="s">
        <v>20</v>
      </c>
      <c r="M260" s="1" t="s">
        <v>26</v>
      </c>
      <c r="N260" s="1">
        <v>42</v>
      </c>
      <c r="O260" s="3" t="s">
        <v>44</v>
      </c>
    </row>
    <row r="261" spans="1:15" x14ac:dyDescent="0.25">
      <c r="A261" s="2" t="s">
        <v>298</v>
      </c>
      <c r="B261" s="1">
        <v>32</v>
      </c>
      <c r="C261" s="1" t="s">
        <v>16</v>
      </c>
      <c r="D261" s="1" t="s">
        <v>17</v>
      </c>
      <c r="E261" s="1" t="s">
        <v>25</v>
      </c>
      <c r="F261" s="1">
        <v>69327</v>
      </c>
      <c r="G261" s="1">
        <v>5</v>
      </c>
      <c r="H261" s="1">
        <v>1</v>
      </c>
      <c r="I261" s="1">
        <v>2</v>
      </c>
      <c r="J261" s="1" t="s">
        <v>20</v>
      </c>
      <c r="K261" s="1">
        <v>19</v>
      </c>
      <c r="L261" s="1" t="s">
        <v>19</v>
      </c>
      <c r="M261" s="1" t="s">
        <v>26</v>
      </c>
      <c r="N261" s="1">
        <v>77</v>
      </c>
      <c r="O261" s="3" t="s">
        <v>22</v>
      </c>
    </row>
    <row r="262" spans="1:15" x14ac:dyDescent="0.25">
      <c r="A262" s="2" t="s">
        <v>299</v>
      </c>
      <c r="B262" s="1">
        <v>52</v>
      </c>
      <c r="C262" s="1" t="s">
        <v>16</v>
      </c>
      <c r="D262" s="1" t="s">
        <v>29</v>
      </c>
      <c r="E262" s="1" t="s">
        <v>38</v>
      </c>
      <c r="F262" s="1">
        <v>28198</v>
      </c>
      <c r="G262" s="1">
        <v>2</v>
      </c>
      <c r="H262" s="1">
        <v>3</v>
      </c>
      <c r="I262" s="1">
        <v>3</v>
      </c>
      <c r="J262" s="1" t="s">
        <v>19</v>
      </c>
      <c r="K262" s="1">
        <v>20</v>
      </c>
      <c r="L262" s="1" t="s">
        <v>19</v>
      </c>
      <c r="M262" s="1" t="s">
        <v>26</v>
      </c>
      <c r="N262" s="1">
        <v>47</v>
      </c>
      <c r="O262" s="3" t="s">
        <v>42</v>
      </c>
    </row>
    <row r="263" spans="1:15" x14ac:dyDescent="0.25">
      <c r="A263" s="2" t="s">
        <v>300</v>
      </c>
      <c r="B263" s="1">
        <v>21</v>
      </c>
      <c r="C263" s="1" t="s">
        <v>28</v>
      </c>
      <c r="D263" s="1" t="s">
        <v>51</v>
      </c>
      <c r="E263" s="1" t="s">
        <v>41</v>
      </c>
      <c r="F263" s="1">
        <v>108855</v>
      </c>
      <c r="G263" s="1">
        <v>1</v>
      </c>
      <c r="H263" s="1">
        <v>3</v>
      </c>
      <c r="I263" s="1">
        <v>3</v>
      </c>
      <c r="J263" s="1" t="s">
        <v>19</v>
      </c>
      <c r="K263" s="1">
        <v>0</v>
      </c>
      <c r="L263" s="1" t="s">
        <v>19</v>
      </c>
      <c r="M263" s="1" t="s">
        <v>30</v>
      </c>
      <c r="N263" s="1">
        <v>61</v>
      </c>
      <c r="O263" s="3" t="s">
        <v>42</v>
      </c>
    </row>
    <row r="264" spans="1:15" x14ac:dyDescent="0.25">
      <c r="A264" s="2" t="s">
        <v>301</v>
      </c>
      <c r="B264" s="1">
        <v>31</v>
      </c>
      <c r="C264" s="1" t="s">
        <v>28</v>
      </c>
      <c r="D264" s="1" t="s">
        <v>49</v>
      </c>
      <c r="E264" s="1" t="s">
        <v>33</v>
      </c>
      <c r="F264" s="1">
        <v>64036</v>
      </c>
      <c r="G264" s="1">
        <v>5</v>
      </c>
      <c r="H264" s="1">
        <v>4</v>
      </c>
      <c r="I264" s="1">
        <v>1</v>
      </c>
      <c r="J264" s="1" t="s">
        <v>20</v>
      </c>
      <c r="K264" s="1">
        <v>18</v>
      </c>
      <c r="L264" s="1" t="s">
        <v>19</v>
      </c>
      <c r="M264" s="1" t="s">
        <v>21</v>
      </c>
      <c r="N264" s="1">
        <v>62</v>
      </c>
      <c r="O264" s="3" t="s">
        <v>22</v>
      </c>
    </row>
    <row r="265" spans="1:15" x14ac:dyDescent="0.25">
      <c r="A265" s="2" t="s">
        <v>302</v>
      </c>
      <c r="B265" s="1">
        <v>23</v>
      </c>
      <c r="C265" s="1" t="s">
        <v>28</v>
      </c>
      <c r="D265" s="1" t="s">
        <v>40</v>
      </c>
      <c r="E265" s="1" t="s">
        <v>18</v>
      </c>
      <c r="F265" s="1">
        <v>52226</v>
      </c>
      <c r="G265" s="1">
        <v>1</v>
      </c>
      <c r="H265" s="1">
        <v>1</v>
      </c>
      <c r="I265" s="1">
        <v>3</v>
      </c>
      <c r="J265" s="1" t="s">
        <v>19</v>
      </c>
      <c r="K265" s="1">
        <v>12</v>
      </c>
      <c r="L265" s="1" t="s">
        <v>19</v>
      </c>
      <c r="M265" s="1" t="s">
        <v>26</v>
      </c>
      <c r="N265" s="1">
        <v>14</v>
      </c>
      <c r="O265" s="3" t="s">
        <v>31</v>
      </c>
    </row>
    <row r="266" spans="1:15" x14ac:dyDescent="0.25">
      <c r="A266" s="2" t="s">
        <v>303</v>
      </c>
      <c r="B266" s="1">
        <v>26</v>
      </c>
      <c r="C266" s="1" t="s">
        <v>28</v>
      </c>
      <c r="D266" s="1" t="s">
        <v>24</v>
      </c>
      <c r="E266" s="1" t="s">
        <v>25</v>
      </c>
      <c r="F266" s="1">
        <v>81273</v>
      </c>
      <c r="G266" s="1">
        <v>1</v>
      </c>
      <c r="H266" s="1">
        <v>4</v>
      </c>
      <c r="I266" s="1">
        <v>2</v>
      </c>
      <c r="J266" s="1" t="s">
        <v>20</v>
      </c>
      <c r="K266" s="1">
        <v>5</v>
      </c>
      <c r="L266" s="1" t="s">
        <v>19</v>
      </c>
      <c r="M266" s="1" t="s">
        <v>21</v>
      </c>
      <c r="N266" s="1">
        <v>47</v>
      </c>
      <c r="O266" s="3" t="s">
        <v>44</v>
      </c>
    </row>
    <row r="267" spans="1:15" x14ac:dyDescent="0.25">
      <c r="A267" s="2" t="s">
        <v>304</v>
      </c>
      <c r="B267" s="1">
        <v>33</v>
      </c>
      <c r="C267" s="1" t="s">
        <v>28</v>
      </c>
      <c r="D267" s="1" t="s">
        <v>17</v>
      </c>
      <c r="E267" s="1" t="s">
        <v>25</v>
      </c>
      <c r="F267" s="1">
        <v>112638</v>
      </c>
      <c r="G267" s="1">
        <v>5</v>
      </c>
      <c r="H267" s="1">
        <v>3</v>
      </c>
      <c r="I267" s="1">
        <v>3</v>
      </c>
      <c r="J267" s="1" t="s">
        <v>20</v>
      </c>
      <c r="K267" s="1">
        <v>7</v>
      </c>
      <c r="L267" s="1" t="s">
        <v>19</v>
      </c>
      <c r="M267" s="1" t="s">
        <v>21</v>
      </c>
      <c r="N267" s="1">
        <v>55</v>
      </c>
      <c r="O267" s="3" t="s">
        <v>31</v>
      </c>
    </row>
    <row r="268" spans="1:15" x14ac:dyDescent="0.25">
      <c r="A268" s="2" t="s">
        <v>305</v>
      </c>
      <c r="B268" s="1">
        <v>56</v>
      </c>
      <c r="C268" s="1" t="s">
        <v>28</v>
      </c>
      <c r="D268" s="1" t="s">
        <v>51</v>
      </c>
      <c r="E268" s="1" t="s">
        <v>35</v>
      </c>
      <c r="F268" s="1">
        <v>65294</v>
      </c>
      <c r="G268" s="1">
        <v>1</v>
      </c>
      <c r="H268" s="1">
        <v>4</v>
      </c>
      <c r="I268" s="1">
        <v>1</v>
      </c>
      <c r="J268" s="1" t="s">
        <v>20</v>
      </c>
      <c r="K268" s="1">
        <v>20</v>
      </c>
      <c r="L268" s="1" t="s">
        <v>20</v>
      </c>
      <c r="M268" s="1" t="s">
        <v>21</v>
      </c>
      <c r="N268" s="1">
        <v>17</v>
      </c>
      <c r="O268" s="3" t="s">
        <v>22</v>
      </c>
    </row>
    <row r="269" spans="1:15" x14ac:dyDescent="0.25">
      <c r="A269" s="2" t="s">
        <v>306</v>
      </c>
      <c r="B269" s="1"/>
      <c r="C269" s="1" t="s">
        <v>16</v>
      </c>
      <c r="D269" s="1" t="s">
        <v>17</v>
      </c>
      <c r="E269" s="1" t="s">
        <v>18</v>
      </c>
      <c r="F269" s="1">
        <v>28739</v>
      </c>
      <c r="G269" s="1">
        <v>4</v>
      </c>
      <c r="H269" s="1">
        <v>1</v>
      </c>
      <c r="I269" s="1">
        <v>3</v>
      </c>
      <c r="J269" s="1" t="s">
        <v>20</v>
      </c>
      <c r="K269" s="1">
        <v>15</v>
      </c>
      <c r="L269" s="1" t="s">
        <v>20</v>
      </c>
      <c r="M269" s="1" t="s">
        <v>26</v>
      </c>
      <c r="N269" s="1">
        <v>38</v>
      </c>
      <c r="O269" s="3" t="s">
        <v>22</v>
      </c>
    </row>
    <row r="270" spans="1:15" x14ac:dyDescent="0.25">
      <c r="A270" s="2" t="s">
        <v>307</v>
      </c>
      <c r="B270" s="1">
        <v>55</v>
      </c>
      <c r="C270" s="1" t="s">
        <v>28</v>
      </c>
      <c r="D270" s="1" t="s">
        <v>51</v>
      </c>
      <c r="E270" s="1" t="s">
        <v>18</v>
      </c>
      <c r="F270" s="1">
        <v>67996</v>
      </c>
      <c r="G270" s="1">
        <v>3</v>
      </c>
      <c r="H270" s="1">
        <v>2</v>
      </c>
      <c r="I270" s="1">
        <v>4</v>
      </c>
      <c r="J270" s="1" t="s">
        <v>19</v>
      </c>
      <c r="K270" s="1">
        <v>8</v>
      </c>
      <c r="L270" s="1" t="s">
        <v>20</v>
      </c>
      <c r="M270" s="1" t="s">
        <v>30</v>
      </c>
      <c r="N270" s="1">
        <v>38</v>
      </c>
      <c r="O270" s="3" t="s">
        <v>44</v>
      </c>
    </row>
    <row r="271" spans="1:15" x14ac:dyDescent="0.25">
      <c r="A271" s="2" t="s">
        <v>308</v>
      </c>
      <c r="B271" s="1">
        <v>38</v>
      </c>
      <c r="C271" s="1" t="s">
        <v>16</v>
      </c>
      <c r="D271" s="1" t="s">
        <v>51</v>
      </c>
      <c r="E271" s="1" t="s">
        <v>38</v>
      </c>
      <c r="F271" s="1">
        <v>105486</v>
      </c>
      <c r="G271" s="1">
        <v>1</v>
      </c>
      <c r="H271" s="1">
        <v>1</v>
      </c>
      <c r="I271" s="1">
        <v>3</v>
      </c>
      <c r="J271" s="1" t="s">
        <v>20</v>
      </c>
      <c r="K271" s="1">
        <v>18</v>
      </c>
      <c r="L271" s="1" t="s">
        <v>19</v>
      </c>
      <c r="M271" s="1" t="s">
        <v>26</v>
      </c>
      <c r="N271" s="1">
        <v>12</v>
      </c>
      <c r="O271" s="3" t="s">
        <v>42</v>
      </c>
    </row>
    <row r="272" spans="1:15" x14ac:dyDescent="0.25">
      <c r="A272" s="2" t="s">
        <v>309</v>
      </c>
      <c r="B272" s="1">
        <v>54</v>
      </c>
      <c r="C272" s="1" t="s">
        <v>28</v>
      </c>
      <c r="D272" s="1" t="s">
        <v>24</v>
      </c>
      <c r="E272" s="1" t="s">
        <v>38</v>
      </c>
      <c r="F272" s="1">
        <v>80236</v>
      </c>
      <c r="G272" s="1">
        <v>5</v>
      </c>
      <c r="H272" s="1">
        <v>2</v>
      </c>
      <c r="I272" s="1">
        <v>4</v>
      </c>
      <c r="J272" s="1" t="s">
        <v>20</v>
      </c>
      <c r="K272" s="1">
        <v>2</v>
      </c>
      <c r="L272" s="1" t="s">
        <v>20</v>
      </c>
      <c r="M272" s="1" t="s">
        <v>26</v>
      </c>
      <c r="N272" s="1">
        <v>9</v>
      </c>
      <c r="O272" s="3" t="s">
        <v>31</v>
      </c>
    </row>
    <row r="273" spans="1:15" x14ac:dyDescent="0.25">
      <c r="A273" s="2" t="s">
        <v>310</v>
      </c>
      <c r="B273" s="1">
        <v>57</v>
      </c>
      <c r="C273" s="1" t="s">
        <v>16</v>
      </c>
      <c r="D273" s="1" t="s">
        <v>40</v>
      </c>
      <c r="E273" s="1" t="s">
        <v>33</v>
      </c>
      <c r="F273" s="1">
        <v>40659</v>
      </c>
      <c r="G273" s="1">
        <v>2</v>
      </c>
      <c r="H273" s="1"/>
      <c r="I273" s="1">
        <v>2</v>
      </c>
      <c r="J273" s="1" t="s">
        <v>19</v>
      </c>
      <c r="K273" s="1">
        <v>1</v>
      </c>
      <c r="L273" s="1" t="s">
        <v>20</v>
      </c>
      <c r="M273" s="1" t="s">
        <v>21</v>
      </c>
      <c r="N273" s="1">
        <v>60</v>
      </c>
      <c r="O273" s="3" t="s">
        <v>44</v>
      </c>
    </row>
    <row r="274" spans="1:15" x14ac:dyDescent="0.25">
      <c r="A274" s="2" t="s">
        <v>311</v>
      </c>
      <c r="B274" s="1">
        <v>30</v>
      </c>
      <c r="C274" s="1" t="s">
        <v>28</v>
      </c>
      <c r="D274" s="1" t="s">
        <v>29</v>
      </c>
      <c r="E274" s="1" t="s">
        <v>38</v>
      </c>
      <c r="F274" s="1">
        <v>26783</v>
      </c>
      <c r="G274" s="1">
        <v>1</v>
      </c>
      <c r="H274" s="1">
        <v>4</v>
      </c>
      <c r="I274" s="1">
        <v>5</v>
      </c>
      <c r="J274" s="1" t="s">
        <v>20</v>
      </c>
      <c r="K274" s="1">
        <v>17</v>
      </c>
      <c r="L274" s="1" t="s">
        <v>20</v>
      </c>
      <c r="M274" s="1" t="s">
        <v>30</v>
      </c>
      <c r="N274" s="1">
        <v>71</v>
      </c>
      <c r="O274" s="3" t="s">
        <v>42</v>
      </c>
    </row>
    <row r="275" spans="1:15" x14ac:dyDescent="0.25">
      <c r="A275" s="2" t="s">
        <v>312</v>
      </c>
      <c r="B275" s="1">
        <v>21</v>
      </c>
      <c r="C275" s="1" t="s">
        <v>28</v>
      </c>
      <c r="D275" s="1" t="s">
        <v>40</v>
      </c>
      <c r="E275" s="1" t="s">
        <v>33</v>
      </c>
      <c r="F275" s="1">
        <v>37613</v>
      </c>
      <c r="G275" s="1">
        <v>2</v>
      </c>
      <c r="H275" s="1">
        <v>5</v>
      </c>
      <c r="I275" s="1">
        <v>5</v>
      </c>
      <c r="J275" s="1" t="s">
        <v>19</v>
      </c>
      <c r="K275" s="1">
        <v>3</v>
      </c>
      <c r="L275" s="1" t="s">
        <v>19</v>
      </c>
      <c r="M275" s="1" t="s">
        <v>30</v>
      </c>
      <c r="N275" s="1">
        <v>73</v>
      </c>
      <c r="O275" s="3" t="s">
        <v>36</v>
      </c>
    </row>
    <row r="276" spans="1:15" x14ac:dyDescent="0.25">
      <c r="A276" s="2" t="s">
        <v>313</v>
      </c>
      <c r="B276" s="1">
        <v>47</v>
      </c>
      <c r="C276" s="1" t="s">
        <v>28</v>
      </c>
      <c r="D276" s="1" t="s">
        <v>49</v>
      </c>
      <c r="E276" s="1" t="s">
        <v>38</v>
      </c>
      <c r="F276" s="1">
        <v>81646</v>
      </c>
      <c r="G276" s="1">
        <v>5</v>
      </c>
      <c r="H276" s="1">
        <v>5</v>
      </c>
      <c r="I276" s="1">
        <v>4</v>
      </c>
      <c r="J276" s="1" t="s">
        <v>19</v>
      </c>
      <c r="K276" s="1">
        <v>5</v>
      </c>
      <c r="L276" s="1" t="s">
        <v>20</v>
      </c>
      <c r="M276" s="1" t="s">
        <v>30</v>
      </c>
      <c r="N276" s="1">
        <v>23</v>
      </c>
      <c r="O276" s="3" t="s">
        <v>31</v>
      </c>
    </row>
    <row r="277" spans="1:15" x14ac:dyDescent="0.25">
      <c r="A277" s="2" t="s">
        <v>314</v>
      </c>
      <c r="B277" s="1">
        <v>46</v>
      </c>
      <c r="C277" s="1" t="s">
        <v>16</v>
      </c>
      <c r="D277" s="1" t="s">
        <v>49</v>
      </c>
      <c r="E277" s="1" t="s">
        <v>18</v>
      </c>
      <c r="F277" s="1">
        <v>108507</v>
      </c>
      <c r="G277" s="1">
        <v>2</v>
      </c>
      <c r="H277" s="1">
        <v>1</v>
      </c>
      <c r="I277" s="1">
        <v>4</v>
      </c>
      <c r="J277" s="1" t="s">
        <v>20</v>
      </c>
      <c r="K277" s="1">
        <v>11</v>
      </c>
      <c r="L277" s="1" t="s">
        <v>19</v>
      </c>
      <c r="M277" s="1" t="s">
        <v>30</v>
      </c>
      <c r="N277" s="1">
        <v>43</v>
      </c>
      <c r="O277" s="3" t="s">
        <v>36</v>
      </c>
    </row>
    <row r="278" spans="1:15" x14ac:dyDescent="0.25">
      <c r="A278" s="2" t="s">
        <v>315</v>
      </c>
      <c r="B278" s="1">
        <v>38</v>
      </c>
      <c r="C278" s="1" t="s">
        <v>28</v>
      </c>
      <c r="D278" s="1" t="s">
        <v>17</v>
      </c>
      <c r="E278" s="1" t="s">
        <v>38</v>
      </c>
      <c r="F278" s="1">
        <v>30873</v>
      </c>
      <c r="G278" s="1">
        <v>2</v>
      </c>
      <c r="H278" s="1">
        <v>2</v>
      </c>
      <c r="I278" s="1">
        <v>3</v>
      </c>
      <c r="J278" s="1" t="s">
        <v>20</v>
      </c>
      <c r="K278" s="1">
        <v>10</v>
      </c>
      <c r="L278" s="1" t="s">
        <v>20</v>
      </c>
      <c r="M278" s="1" t="s">
        <v>26</v>
      </c>
      <c r="N278" s="1">
        <v>58</v>
      </c>
      <c r="O278" s="3" t="s">
        <v>31</v>
      </c>
    </row>
    <row r="279" spans="1:15" x14ac:dyDescent="0.25">
      <c r="A279" s="2" t="s">
        <v>316</v>
      </c>
      <c r="B279" s="1">
        <v>26</v>
      </c>
      <c r="C279" s="1" t="s">
        <v>16</v>
      </c>
      <c r="D279" s="1" t="s">
        <v>49</v>
      </c>
      <c r="E279" s="1" t="s">
        <v>41</v>
      </c>
      <c r="F279" s="1">
        <v>71368</v>
      </c>
      <c r="G279" s="1">
        <v>4</v>
      </c>
      <c r="H279" s="1">
        <v>5</v>
      </c>
      <c r="I279" s="1">
        <v>3</v>
      </c>
      <c r="J279" s="1" t="s">
        <v>19</v>
      </c>
      <c r="K279" s="1">
        <v>16</v>
      </c>
      <c r="L279" s="1" t="s">
        <v>19</v>
      </c>
      <c r="M279" s="1" t="s">
        <v>21</v>
      </c>
      <c r="N279" s="1">
        <v>44</v>
      </c>
      <c r="O279" s="3" t="s">
        <v>31</v>
      </c>
    </row>
    <row r="280" spans="1:15" x14ac:dyDescent="0.25">
      <c r="A280" s="2" t="s">
        <v>317</v>
      </c>
      <c r="B280" s="1">
        <v>46</v>
      </c>
      <c r="C280" s="1" t="s">
        <v>16</v>
      </c>
      <c r="D280" s="1" t="s">
        <v>24</v>
      </c>
      <c r="E280" s="1" t="s">
        <v>25</v>
      </c>
      <c r="F280" s="1">
        <v>21794</v>
      </c>
      <c r="G280" s="1">
        <v>2</v>
      </c>
      <c r="H280" s="1">
        <v>2</v>
      </c>
      <c r="I280" s="1">
        <v>2</v>
      </c>
      <c r="J280" s="1" t="s">
        <v>19</v>
      </c>
      <c r="K280" s="1">
        <v>7</v>
      </c>
      <c r="L280" s="1" t="s">
        <v>19</v>
      </c>
      <c r="M280" s="1" t="s">
        <v>30</v>
      </c>
      <c r="N280" s="1">
        <v>11</v>
      </c>
      <c r="O280" s="3" t="s">
        <v>36</v>
      </c>
    </row>
    <row r="281" spans="1:15" x14ac:dyDescent="0.25">
      <c r="A281" s="2" t="s">
        <v>318</v>
      </c>
      <c r="B281" s="1">
        <v>33</v>
      </c>
      <c r="C281" s="1" t="s">
        <v>28</v>
      </c>
      <c r="D281" s="1" t="s">
        <v>29</v>
      </c>
      <c r="E281" s="1" t="s">
        <v>33</v>
      </c>
      <c r="F281" s="1">
        <v>84207</v>
      </c>
      <c r="G281" s="1">
        <v>4</v>
      </c>
      <c r="H281" s="1">
        <v>1</v>
      </c>
      <c r="I281" s="1">
        <v>1</v>
      </c>
      <c r="J281" s="1" t="s">
        <v>19</v>
      </c>
      <c r="K281" s="1">
        <v>11</v>
      </c>
      <c r="L281" s="1" t="s">
        <v>20</v>
      </c>
      <c r="M281" s="1" t="s">
        <v>26</v>
      </c>
      <c r="N281" s="1">
        <v>62</v>
      </c>
      <c r="O281" s="3" t="s">
        <v>44</v>
      </c>
    </row>
    <row r="282" spans="1:15" x14ac:dyDescent="0.25">
      <c r="A282" s="2" t="s">
        <v>319</v>
      </c>
      <c r="B282" s="1">
        <v>51</v>
      </c>
      <c r="C282" s="1" t="s">
        <v>28</v>
      </c>
      <c r="D282" s="1" t="s">
        <v>29</v>
      </c>
      <c r="E282" s="1" t="s">
        <v>41</v>
      </c>
      <c r="F282" s="1">
        <v>51903</v>
      </c>
      <c r="G282" s="1">
        <v>1</v>
      </c>
      <c r="H282" s="1">
        <v>3</v>
      </c>
      <c r="I282" s="1">
        <v>1</v>
      </c>
      <c r="J282" s="1" t="s">
        <v>20</v>
      </c>
      <c r="K282" s="1">
        <v>1</v>
      </c>
      <c r="L282" s="1" t="s">
        <v>19</v>
      </c>
      <c r="M282" s="1" t="s">
        <v>26</v>
      </c>
      <c r="N282" s="1">
        <v>32</v>
      </c>
      <c r="O282" s="3" t="s">
        <v>44</v>
      </c>
    </row>
    <row r="283" spans="1:15" x14ac:dyDescent="0.25">
      <c r="A283" s="2" t="s">
        <v>320</v>
      </c>
      <c r="B283" s="1">
        <v>35</v>
      </c>
      <c r="C283" s="1" t="s">
        <v>16</v>
      </c>
      <c r="D283" s="1" t="s">
        <v>29</v>
      </c>
      <c r="E283" s="1" t="s">
        <v>38</v>
      </c>
      <c r="F283" s="1">
        <v>71674</v>
      </c>
      <c r="G283" s="1">
        <v>5</v>
      </c>
      <c r="H283" s="1">
        <v>1</v>
      </c>
      <c r="I283" s="1">
        <v>1</v>
      </c>
      <c r="J283" s="1" t="s">
        <v>20</v>
      </c>
      <c r="K283" s="1">
        <v>4</v>
      </c>
      <c r="L283" s="1" t="s">
        <v>19</v>
      </c>
      <c r="M283" s="1" t="s">
        <v>26</v>
      </c>
      <c r="N283" s="1">
        <v>6</v>
      </c>
      <c r="O283" s="3" t="s">
        <v>44</v>
      </c>
    </row>
    <row r="284" spans="1:15" x14ac:dyDescent="0.25">
      <c r="A284" s="2" t="s">
        <v>321</v>
      </c>
      <c r="B284" s="1">
        <v>37</v>
      </c>
      <c r="C284" s="1" t="s">
        <v>28</v>
      </c>
      <c r="D284" s="1" t="s">
        <v>17</v>
      </c>
      <c r="E284" s="1" t="s">
        <v>38</v>
      </c>
      <c r="F284" s="1">
        <v>102245</v>
      </c>
      <c r="G284" s="1">
        <v>3</v>
      </c>
      <c r="H284" s="1">
        <v>4</v>
      </c>
      <c r="I284" s="1">
        <v>4</v>
      </c>
      <c r="J284" s="1" t="s">
        <v>20</v>
      </c>
      <c r="K284" s="1">
        <v>14</v>
      </c>
      <c r="L284" s="1" t="s">
        <v>20</v>
      </c>
      <c r="M284" s="1" t="s">
        <v>21</v>
      </c>
      <c r="N284" s="1">
        <v>64</v>
      </c>
      <c r="O284" s="3" t="s">
        <v>36</v>
      </c>
    </row>
    <row r="285" spans="1:15" x14ac:dyDescent="0.25">
      <c r="A285" s="2" t="s">
        <v>322</v>
      </c>
      <c r="B285" s="1"/>
      <c r="C285" s="1" t="s">
        <v>28</v>
      </c>
      <c r="D285" s="1" t="s">
        <v>24</v>
      </c>
      <c r="E285" s="1" t="s">
        <v>35</v>
      </c>
      <c r="F285" s="1">
        <v>18963</v>
      </c>
      <c r="G285" s="1">
        <v>5</v>
      </c>
      <c r="H285" s="1">
        <v>3</v>
      </c>
      <c r="I285" s="1">
        <v>5</v>
      </c>
      <c r="J285" s="1" t="s">
        <v>20</v>
      </c>
      <c r="K285" s="1">
        <v>9</v>
      </c>
      <c r="L285" s="1" t="s">
        <v>19</v>
      </c>
      <c r="M285" s="1" t="s">
        <v>30</v>
      </c>
      <c r="N285" s="1">
        <v>13</v>
      </c>
      <c r="O285" s="3" t="s">
        <v>36</v>
      </c>
    </row>
    <row r="286" spans="1:15" x14ac:dyDescent="0.25">
      <c r="A286" s="2" t="s">
        <v>323</v>
      </c>
      <c r="B286" s="1">
        <v>38</v>
      </c>
      <c r="C286" s="1" t="s">
        <v>28</v>
      </c>
      <c r="D286" s="1" t="s">
        <v>29</v>
      </c>
      <c r="E286" s="1" t="s">
        <v>18</v>
      </c>
      <c r="F286" s="1">
        <v>103998</v>
      </c>
      <c r="G286" s="1">
        <v>3</v>
      </c>
      <c r="H286" s="1">
        <v>2</v>
      </c>
      <c r="I286" s="1">
        <v>2</v>
      </c>
      <c r="J286" s="1" t="s">
        <v>19</v>
      </c>
      <c r="K286" s="1">
        <v>1</v>
      </c>
      <c r="L286" s="1" t="s">
        <v>20</v>
      </c>
      <c r="M286" s="1" t="s">
        <v>26</v>
      </c>
      <c r="N286" s="1">
        <v>45</v>
      </c>
      <c r="O286" s="3" t="s">
        <v>44</v>
      </c>
    </row>
    <row r="287" spans="1:15" x14ac:dyDescent="0.25">
      <c r="A287" s="2" t="s">
        <v>324</v>
      </c>
      <c r="B287" s="1">
        <v>22</v>
      </c>
      <c r="C287" s="1" t="s">
        <v>28</v>
      </c>
      <c r="D287" s="1" t="s">
        <v>29</v>
      </c>
      <c r="E287" s="1" t="s">
        <v>18</v>
      </c>
      <c r="F287" s="1">
        <v>72862</v>
      </c>
      <c r="G287" s="1">
        <v>4</v>
      </c>
      <c r="H287" s="1">
        <v>4</v>
      </c>
      <c r="I287" s="1">
        <v>1</v>
      </c>
      <c r="J287" s="1" t="s">
        <v>19</v>
      </c>
      <c r="K287" s="1">
        <v>10</v>
      </c>
      <c r="L287" s="1" t="s">
        <v>19</v>
      </c>
      <c r="M287" s="1" t="s">
        <v>26</v>
      </c>
      <c r="N287" s="1">
        <v>73</v>
      </c>
      <c r="O287" s="3" t="s">
        <v>42</v>
      </c>
    </row>
    <row r="288" spans="1:15" x14ac:dyDescent="0.25">
      <c r="A288" s="2" t="s">
        <v>325</v>
      </c>
      <c r="B288" s="1">
        <v>43</v>
      </c>
      <c r="C288" s="1" t="s">
        <v>28</v>
      </c>
      <c r="D288" s="1" t="s">
        <v>51</v>
      </c>
      <c r="E288" s="1" t="s">
        <v>38</v>
      </c>
      <c r="F288" s="1">
        <v>91170</v>
      </c>
      <c r="G288" s="1">
        <v>2</v>
      </c>
      <c r="H288" s="1">
        <v>3</v>
      </c>
      <c r="I288" s="1">
        <v>1</v>
      </c>
      <c r="J288" s="1" t="s">
        <v>20</v>
      </c>
      <c r="K288" s="1">
        <v>4</v>
      </c>
      <c r="L288" s="1" t="s">
        <v>20</v>
      </c>
      <c r="M288" s="1" t="s">
        <v>26</v>
      </c>
      <c r="N288" s="1">
        <v>76</v>
      </c>
      <c r="O288" s="3" t="s">
        <v>44</v>
      </c>
    </row>
    <row r="289" spans="1:15" x14ac:dyDescent="0.25">
      <c r="A289" s="2" t="s">
        <v>326</v>
      </c>
      <c r="B289" s="1">
        <v>42</v>
      </c>
      <c r="C289" s="1" t="s">
        <v>16</v>
      </c>
      <c r="D289" s="1" t="s">
        <v>51</v>
      </c>
      <c r="E289" s="1" t="s">
        <v>18</v>
      </c>
      <c r="F289" s="1">
        <v>47272</v>
      </c>
      <c r="G289" s="1">
        <v>3</v>
      </c>
      <c r="H289" s="1">
        <v>4</v>
      </c>
      <c r="I289" s="1">
        <v>3</v>
      </c>
      <c r="J289" s="1" t="s">
        <v>20</v>
      </c>
      <c r="K289" s="1">
        <v>8</v>
      </c>
      <c r="L289" s="1" t="s">
        <v>20</v>
      </c>
      <c r="M289" s="1" t="s">
        <v>30</v>
      </c>
      <c r="N289" s="1">
        <v>20</v>
      </c>
      <c r="O289" s="3" t="s">
        <v>42</v>
      </c>
    </row>
    <row r="290" spans="1:15" x14ac:dyDescent="0.25">
      <c r="A290" s="2" t="s">
        <v>327</v>
      </c>
      <c r="B290" s="1">
        <v>24</v>
      </c>
      <c r="C290" s="1" t="s">
        <v>16</v>
      </c>
      <c r="D290" s="1" t="s">
        <v>49</v>
      </c>
      <c r="E290" s="1" t="s">
        <v>41</v>
      </c>
      <c r="F290" s="1">
        <v>83598</v>
      </c>
      <c r="G290" s="1">
        <v>1</v>
      </c>
      <c r="H290" s="1">
        <v>4</v>
      </c>
      <c r="I290" s="1">
        <v>5</v>
      </c>
      <c r="J290" s="1" t="s">
        <v>20</v>
      </c>
      <c r="K290" s="1">
        <v>13</v>
      </c>
      <c r="L290" s="1" t="s">
        <v>19</v>
      </c>
      <c r="M290" s="1" t="s">
        <v>21</v>
      </c>
      <c r="N290" s="1">
        <v>22</v>
      </c>
      <c r="O290" s="3" t="s">
        <v>44</v>
      </c>
    </row>
    <row r="291" spans="1:15" x14ac:dyDescent="0.25">
      <c r="A291" s="2" t="s">
        <v>328</v>
      </c>
      <c r="B291" s="1">
        <v>42</v>
      </c>
      <c r="C291" s="1" t="s">
        <v>28</v>
      </c>
      <c r="D291" s="1" t="s">
        <v>24</v>
      </c>
      <c r="E291" s="1" t="s">
        <v>33</v>
      </c>
      <c r="F291" s="1">
        <v>36772</v>
      </c>
      <c r="G291" s="1">
        <v>3</v>
      </c>
      <c r="H291" s="1">
        <v>2</v>
      </c>
      <c r="I291" s="1">
        <v>1</v>
      </c>
      <c r="J291" s="1" t="s">
        <v>20</v>
      </c>
      <c r="K291" s="1">
        <v>10</v>
      </c>
      <c r="L291" s="1" t="s">
        <v>19</v>
      </c>
      <c r="M291" s="1" t="s">
        <v>30</v>
      </c>
      <c r="N291" s="1">
        <v>12</v>
      </c>
      <c r="O291" s="3" t="s">
        <v>22</v>
      </c>
    </row>
    <row r="292" spans="1:15" x14ac:dyDescent="0.25">
      <c r="A292" s="2" t="s">
        <v>329</v>
      </c>
      <c r="B292" s="1">
        <v>49</v>
      </c>
      <c r="C292" s="1" t="s">
        <v>28</v>
      </c>
      <c r="D292" s="1" t="s">
        <v>51</v>
      </c>
      <c r="E292" s="1" t="s">
        <v>41</v>
      </c>
      <c r="F292" s="1">
        <v>93534</v>
      </c>
      <c r="G292" s="1">
        <v>2</v>
      </c>
      <c r="H292" s="1">
        <v>4</v>
      </c>
      <c r="I292" s="1">
        <v>1</v>
      </c>
      <c r="J292" s="1" t="s">
        <v>19</v>
      </c>
      <c r="K292" s="1">
        <v>19</v>
      </c>
      <c r="L292" s="1" t="s">
        <v>20</v>
      </c>
      <c r="M292" s="1" t="s">
        <v>26</v>
      </c>
      <c r="N292" s="1">
        <v>59</v>
      </c>
      <c r="O292" s="3" t="s">
        <v>42</v>
      </c>
    </row>
    <row r="293" spans="1:15" x14ac:dyDescent="0.25">
      <c r="A293" s="2" t="s">
        <v>330</v>
      </c>
      <c r="B293" s="1">
        <v>48</v>
      </c>
      <c r="C293" s="1" t="s">
        <v>28</v>
      </c>
      <c r="D293" s="1" t="s">
        <v>49</v>
      </c>
      <c r="E293" s="1" t="s">
        <v>35</v>
      </c>
      <c r="F293" s="1">
        <v>22944</v>
      </c>
      <c r="G293" s="1"/>
      <c r="H293" s="1">
        <v>2</v>
      </c>
      <c r="I293" s="1">
        <v>3</v>
      </c>
      <c r="J293" s="1" t="s">
        <v>19</v>
      </c>
      <c r="K293" s="1">
        <v>10</v>
      </c>
      <c r="L293" s="1" t="s">
        <v>19</v>
      </c>
      <c r="M293" s="1" t="s">
        <v>21</v>
      </c>
      <c r="N293" s="1">
        <v>5</v>
      </c>
      <c r="O293" s="3" t="s">
        <v>44</v>
      </c>
    </row>
    <row r="294" spans="1:15" x14ac:dyDescent="0.25">
      <c r="A294" s="2" t="s">
        <v>331</v>
      </c>
      <c r="B294" s="1">
        <v>35</v>
      </c>
      <c r="C294" s="1" t="s">
        <v>28</v>
      </c>
      <c r="D294" s="1" t="s">
        <v>29</v>
      </c>
      <c r="E294" s="1" t="s">
        <v>41</v>
      </c>
      <c r="F294" s="1">
        <v>31462</v>
      </c>
      <c r="G294" s="1">
        <v>4</v>
      </c>
      <c r="H294" s="1">
        <v>5</v>
      </c>
      <c r="I294" s="1">
        <v>5</v>
      </c>
      <c r="J294" s="1" t="s">
        <v>20</v>
      </c>
      <c r="K294" s="1">
        <v>5</v>
      </c>
      <c r="L294" s="1" t="s">
        <v>19</v>
      </c>
      <c r="M294" s="1" t="s">
        <v>21</v>
      </c>
      <c r="N294" s="1">
        <v>43</v>
      </c>
      <c r="O294" s="3" t="s">
        <v>36</v>
      </c>
    </row>
    <row r="295" spans="1:15" x14ac:dyDescent="0.25">
      <c r="A295" s="2" t="s">
        <v>332</v>
      </c>
      <c r="B295" s="1">
        <v>50</v>
      </c>
      <c r="C295" s="1" t="s">
        <v>28</v>
      </c>
      <c r="D295" s="1" t="s">
        <v>49</v>
      </c>
      <c r="E295" s="1" t="s">
        <v>38</v>
      </c>
      <c r="F295" s="1">
        <v>35536</v>
      </c>
      <c r="G295" s="1">
        <v>3</v>
      </c>
      <c r="H295" s="1"/>
      <c r="I295" s="1">
        <v>3</v>
      </c>
      <c r="J295" s="1" t="s">
        <v>19</v>
      </c>
      <c r="K295" s="1">
        <v>5</v>
      </c>
      <c r="L295" s="1" t="s">
        <v>20</v>
      </c>
      <c r="M295" s="1" t="s">
        <v>21</v>
      </c>
      <c r="N295" s="1">
        <v>34</v>
      </c>
      <c r="O295" s="3" t="s">
        <v>44</v>
      </c>
    </row>
    <row r="296" spans="1:15" x14ac:dyDescent="0.25">
      <c r="A296" s="2" t="s">
        <v>333</v>
      </c>
      <c r="B296" s="1">
        <v>29</v>
      </c>
      <c r="C296" s="1" t="s">
        <v>16</v>
      </c>
      <c r="D296" s="1" t="s">
        <v>17</v>
      </c>
      <c r="E296" s="1" t="s">
        <v>35</v>
      </c>
      <c r="F296" s="1">
        <v>95292</v>
      </c>
      <c r="G296" s="1">
        <v>5</v>
      </c>
      <c r="H296" s="1">
        <v>2</v>
      </c>
      <c r="I296" s="1">
        <v>1</v>
      </c>
      <c r="J296" s="1" t="s">
        <v>20</v>
      </c>
      <c r="K296" s="1">
        <v>20</v>
      </c>
      <c r="L296" s="1" t="s">
        <v>19</v>
      </c>
      <c r="M296" s="1" t="s">
        <v>30</v>
      </c>
      <c r="N296" s="1">
        <v>37</v>
      </c>
      <c r="O296" s="3" t="s">
        <v>31</v>
      </c>
    </row>
    <row r="297" spans="1:15" x14ac:dyDescent="0.25">
      <c r="A297" s="2" t="s">
        <v>334</v>
      </c>
      <c r="B297" s="1"/>
      <c r="C297" s="1" t="s">
        <v>16</v>
      </c>
      <c r="D297" s="1" t="s">
        <v>17</v>
      </c>
      <c r="E297" s="1" t="s">
        <v>35</v>
      </c>
      <c r="F297" s="1">
        <v>103664</v>
      </c>
      <c r="G297" s="1">
        <v>1</v>
      </c>
      <c r="H297" s="1">
        <v>1</v>
      </c>
      <c r="I297" s="1">
        <v>1</v>
      </c>
      <c r="J297" s="1" t="s">
        <v>20</v>
      </c>
      <c r="K297" s="1">
        <v>14</v>
      </c>
      <c r="L297" s="1" t="s">
        <v>20</v>
      </c>
      <c r="M297" s="1" t="s">
        <v>21</v>
      </c>
      <c r="N297" s="1">
        <v>75</v>
      </c>
      <c r="O297" s="3" t="s">
        <v>36</v>
      </c>
    </row>
    <row r="298" spans="1:15" x14ac:dyDescent="0.25">
      <c r="A298" s="2" t="s">
        <v>335</v>
      </c>
      <c r="B298" s="1">
        <v>51</v>
      </c>
      <c r="C298" s="1" t="s">
        <v>16</v>
      </c>
      <c r="D298" s="1" t="s">
        <v>51</v>
      </c>
      <c r="E298" s="1" t="s">
        <v>38</v>
      </c>
      <c r="F298" s="1">
        <v>107881</v>
      </c>
      <c r="G298" s="1">
        <v>1</v>
      </c>
      <c r="H298" s="1">
        <v>3</v>
      </c>
      <c r="I298" s="1"/>
      <c r="J298" s="1" t="s">
        <v>19</v>
      </c>
      <c r="K298" s="1">
        <v>16</v>
      </c>
      <c r="L298" s="1" t="s">
        <v>20</v>
      </c>
      <c r="M298" s="1" t="s">
        <v>26</v>
      </c>
      <c r="N298" s="1">
        <v>22</v>
      </c>
      <c r="O298" s="3" t="s">
        <v>42</v>
      </c>
    </row>
    <row r="299" spans="1:15" x14ac:dyDescent="0.25">
      <c r="A299" s="2" t="s">
        <v>336</v>
      </c>
      <c r="B299" s="1">
        <v>27</v>
      </c>
      <c r="C299" s="1" t="s">
        <v>16</v>
      </c>
      <c r="D299" s="1" t="s">
        <v>29</v>
      </c>
      <c r="E299" s="1" t="s">
        <v>35</v>
      </c>
      <c r="F299" s="1">
        <v>31928</v>
      </c>
      <c r="G299" s="1">
        <v>4</v>
      </c>
      <c r="H299" s="1">
        <v>2</v>
      </c>
      <c r="I299" s="1">
        <v>5</v>
      </c>
      <c r="J299" s="1" t="s">
        <v>19</v>
      </c>
      <c r="K299" s="1">
        <v>8</v>
      </c>
      <c r="L299" s="1" t="s">
        <v>19</v>
      </c>
      <c r="M299" s="1" t="s">
        <v>30</v>
      </c>
      <c r="N299" s="1">
        <v>57</v>
      </c>
      <c r="O299" s="3" t="s">
        <v>36</v>
      </c>
    </row>
    <row r="300" spans="1:15" x14ac:dyDescent="0.25">
      <c r="A300" s="2" t="s">
        <v>337</v>
      </c>
      <c r="B300" s="1">
        <v>31</v>
      </c>
      <c r="C300" s="1" t="s">
        <v>16</v>
      </c>
      <c r="D300" s="1" t="s">
        <v>24</v>
      </c>
      <c r="E300" s="1" t="s">
        <v>33</v>
      </c>
      <c r="F300" s="1">
        <v>45222</v>
      </c>
      <c r="G300" s="1">
        <v>4</v>
      </c>
      <c r="H300" s="1">
        <v>3</v>
      </c>
      <c r="I300" s="1">
        <v>2</v>
      </c>
      <c r="J300" s="1" t="s">
        <v>19</v>
      </c>
      <c r="K300" s="1">
        <v>0</v>
      </c>
      <c r="L300" s="1" t="s">
        <v>19</v>
      </c>
      <c r="M300" s="1" t="s">
        <v>21</v>
      </c>
      <c r="N300" s="1">
        <v>78</v>
      </c>
      <c r="O300" s="3" t="s">
        <v>42</v>
      </c>
    </row>
    <row r="301" spans="1:15" x14ac:dyDescent="0.25">
      <c r="A301" s="2" t="s">
        <v>338</v>
      </c>
      <c r="B301" s="1">
        <v>30</v>
      </c>
      <c r="C301" s="1" t="s">
        <v>16</v>
      </c>
      <c r="D301" s="1" t="s">
        <v>24</v>
      </c>
      <c r="E301" s="1" t="s">
        <v>35</v>
      </c>
      <c r="F301" s="1">
        <v>112838</v>
      </c>
      <c r="G301" s="1">
        <v>1</v>
      </c>
      <c r="H301" s="1">
        <v>3</v>
      </c>
      <c r="I301" s="1">
        <v>2</v>
      </c>
      <c r="J301" s="1" t="s">
        <v>20</v>
      </c>
      <c r="K301" s="1">
        <v>9</v>
      </c>
      <c r="L301" s="1" t="s">
        <v>20</v>
      </c>
      <c r="M301" s="1" t="s">
        <v>30</v>
      </c>
      <c r="N301" s="1">
        <v>11</v>
      </c>
      <c r="O301" s="3" t="s">
        <v>22</v>
      </c>
    </row>
    <row r="302" spans="1:15" x14ac:dyDescent="0.25">
      <c r="A302" s="2" t="s">
        <v>339</v>
      </c>
      <c r="B302" s="1">
        <v>32</v>
      </c>
      <c r="C302" s="1" t="s">
        <v>16</v>
      </c>
      <c r="D302" s="1" t="s">
        <v>29</v>
      </c>
      <c r="E302" s="1" t="s">
        <v>18</v>
      </c>
      <c r="F302" s="1">
        <v>106705</v>
      </c>
      <c r="G302" s="1">
        <v>3</v>
      </c>
      <c r="H302" s="1">
        <v>4</v>
      </c>
      <c r="I302" s="1">
        <v>1</v>
      </c>
      <c r="J302" s="1" t="s">
        <v>19</v>
      </c>
      <c r="K302" s="1">
        <v>1</v>
      </c>
      <c r="L302" s="1" t="s">
        <v>19</v>
      </c>
      <c r="M302" s="1" t="s">
        <v>21</v>
      </c>
      <c r="N302" s="1">
        <v>26</v>
      </c>
      <c r="O302" s="3" t="s">
        <v>36</v>
      </c>
    </row>
    <row r="303" spans="1:15" x14ac:dyDescent="0.25">
      <c r="A303" s="2" t="s">
        <v>340</v>
      </c>
      <c r="B303" s="1">
        <v>43</v>
      </c>
      <c r="C303" s="1" t="s">
        <v>28</v>
      </c>
      <c r="D303" s="1" t="s">
        <v>24</v>
      </c>
      <c r="E303" s="1" t="s">
        <v>18</v>
      </c>
      <c r="F303" s="1">
        <v>114084</v>
      </c>
      <c r="G303" s="1">
        <v>1</v>
      </c>
      <c r="H303" s="1">
        <v>3</v>
      </c>
      <c r="I303" s="1">
        <v>3</v>
      </c>
      <c r="J303" s="1" t="s">
        <v>19</v>
      </c>
      <c r="K303" s="1">
        <v>3</v>
      </c>
      <c r="L303" s="1" t="s">
        <v>20</v>
      </c>
      <c r="M303" s="1" t="s">
        <v>30</v>
      </c>
      <c r="N303" s="1">
        <v>63</v>
      </c>
      <c r="O303" s="3" t="s">
        <v>36</v>
      </c>
    </row>
    <row r="304" spans="1:15" x14ac:dyDescent="0.25">
      <c r="A304" s="2" t="s">
        <v>341</v>
      </c>
      <c r="B304" s="1"/>
      <c r="C304" s="1" t="s">
        <v>28</v>
      </c>
      <c r="D304" s="1" t="s">
        <v>49</v>
      </c>
      <c r="E304" s="1" t="s">
        <v>38</v>
      </c>
      <c r="F304" s="1">
        <v>39860</v>
      </c>
      <c r="G304" s="1">
        <v>1</v>
      </c>
      <c r="H304" s="1">
        <v>2</v>
      </c>
      <c r="I304" s="1"/>
      <c r="J304" s="1" t="s">
        <v>19</v>
      </c>
      <c r="K304" s="1">
        <v>3</v>
      </c>
      <c r="L304" s="1" t="s">
        <v>20</v>
      </c>
      <c r="M304" s="1" t="s">
        <v>26</v>
      </c>
      <c r="N304" s="1">
        <v>66</v>
      </c>
      <c r="O304" s="3" t="s">
        <v>31</v>
      </c>
    </row>
    <row r="305" spans="1:15" x14ac:dyDescent="0.25">
      <c r="A305" s="2" t="s">
        <v>342</v>
      </c>
      <c r="B305" s="1">
        <v>49</v>
      </c>
      <c r="C305" s="1" t="s">
        <v>16</v>
      </c>
      <c r="D305" s="1" t="s">
        <v>24</v>
      </c>
      <c r="E305" s="1" t="s">
        <v>33</v>
      </c>
      <c r="F305" s="1">
        <v>65002</v>
      </c>
      <c r="G305" s="1">
        <v>5</v>
      </c>
      <c r="H305" s="1">
        <v>1</v>
      </c>
      <c r="I305" s="1">
        <v>2</v>
      </c>
      <c r="J305" s="1" t="s">
        <v>20</v>
      </c>
      <c r="K305" s="1">
        <v>15</v>
      </c>
      <c r="L305" s="1" t="s">
        <v>19</v>
      </c>
      <c r="M305" s="1" t="s">
        <v>30</v>
      </c>
      <c r="N305" s="1">
        <v>61</v>
      </c>
      <c r="O305" s="3" t="s">
        <v>22</v>
      </c>
    </row>
    <row r="306" spans="1:15" x14ac:dyDescent="0.25">
      <c r="A306" s="2" t="s">
        <v>343</v>
      </c>
      <c r="B306" s="1">
        <v>25</v>
      </c>
      <c r="C306" s="1" t="s">
        <v>28</v>
      </c>
      <c r="D306" s="1" t="s">
        <v>17</v>
      </c>
      <c r="E306" s="1" t="s">
        <v>18</v>
      </c>
      <c r="F306" s="1">
        <v>19620</v>
      </c>
      <c r="G306" s="1">
        <v>5</v>
      </c>
      <c r="H306" s="1">
        <v>5</v>
      </c>
      <c r="I306" s="1">
        <v>5</v>
      </c>
      <c r="J306" s="1" t="s">
        <v>19</v>
      </c>
      <c r="K306" s="1">
        <v>10</v>
      </c>
      <c r="L306" s="1" t="s">
        <v>19</v>
      </c>
      <c r="M306" s="1" t="s">
        <v>30</v>
      </c>
      <c r="N306" s="1">
        <v>36</v>
      </c>
      <c r="O306" s="3" t="s">
        <v>42</v>
      </c>
    </row>
    <row r="307" spans="1:15" x14ac:dyDescent="0.25">
      <c r="A307" s="2" t="s">
        <v>344</v>
      </c>
      <c r="B307" s="1">
        <v>43</v>
      </c>
      <c r="C307" s="1" t="s">
        <v>28</v>
      </c>
      <c r="D307" s="1" t="s">
        <v>51</v>
      </c>
      <c r="E307" s="1" t="s">
        <v>25</v>
      </c>
      <c r="F307" s="1">
        <v>98335</v>
      </c>
      <c r="G307" s="1">
        <v>1</v>
      </c>
      <c r="H307" s="1">
        <v>1</v>
      </c>
      <c r="I307" s="1">
        <v>2</v>
      </c>
      <c r="J307" s="1" t="s">
        <v>20</v>
      </c>
      <c r="K307" s="1">
        <v>15</v>
      </c>
      <c r="L307" s="1" t="s">
        <v>19</v>
      </c>
      <c r="M307" s="1" t="s">
        <v>21</v>
      </c>
      <c r="N307" s="1">
        <v>67</v>
      </c>
      <c r="O307" s="3" t="s">
        <v>36</v>
      </c>
    </row>
    <row r="308" spans="1:15" x14ac:dyDescent="0.25">
      <c r="A308" s="2" t="s">
        <v>345</v>
      </c>
      <c r="B308" s="1">
        <v>36</v>
      </c>
      <c r="C308" s="1" t="s">
        <v>28</v>
      </c>
      <c r="D308" s="1" t="s">
        <v>29</v>
      </c>
      <c r="E308" s="1" t="s">
        <v>35</v>
      </c>
      <c r="F308" s="1">
        <v>84444</v>
      </c>
      <c r="G308" s="1">
        <v>2</v>
      </c>
      <c r="H308" s="1">
        <v>5</v>
      </c>
      <c r="I308" s="1">
        <v>4</v>
      </c>
      <c r="J308" s="1" t="s">
        <v>20</v>
      </c>
      <c r="K308" s="1">
        <v>7</v>
      </c>
      <c r="L308" s="1" t="s">
        <v>19</v>
      </c>
      <c r="M308" s="1" t="s">
        <v>30</v>
      </c>
      <c r="N308" s="1">
        <v>61</v>
      </c>
      <c r="O308" s="3" t="s">
        <v>31</v>
      </c>
    </row>
    <row r="309" spans="1:15" x14ac:dyDescent="0.25">
      <c r="A309" s="2" t="s">
        <v>346</v>
      </c>
      <c r="B309" s="1">
        <v>49</v>
      </c>
      <c r="C309" s="1" t="s">
        <v>16</v>
      </c>
      <c r="D309" s="1" t="s">
        <v>49</v>
      </c>
      <c r="E309" s="1" t="s">
        <v>33</v>
      </c>
      <c r="F309" s="1">
        <v>59426</v>
      </c>
      <c r="G309" s="1">
        <v>1</v>
      </c>
      <c r="H309" s="1">
        <v>4</v>
      </c>
      <c r="I309" s="1">
        <v>1</v>
      </c>
      <c r="J309" s="1" t="s">
        <v>19</v>
      </c>
      <c r="K309" s="1">
        <v>12</v>
      </c>
      <c r="L309" s="1" t="s">
        <v>20</v>
      </c>
      <c r="M309" s="1" t="s">
        <v>21</v>
      </c>
      <c r="N309" s="1">
        <v>76</v>
      </c>
      <c r="O309" s="3" t="s">
        <v>31</v>
      </c>
    </row>
    <row r="310" spans="1:15" x14ac:dyDescent="0.25">
      <c r="A310" s="2" t="s">
        <v>347</v>
      </c>
      <c r="B310" s="1">
        <v>21</v>
      </c>
      <c r="C310" s="1" t="s">
        <v>16</v>
      </c>
      <c r="D310" s="1" t="s">
        <v>24</v>
      </c>
      <c r="E310" s="1" t="s">
        <v>25</v>
      </c>
      <c r="F310" s="1">
        <v>101563</v>
      </c>
      <c r="G310" s="1">
        <v>3</v>
      </c>
      <c r="H310" s="1">
        <v>5</v>
      </c>
      <c r="I310" s="1">
        <v>5</v>
      </c>
      <c r="J310" s="1" t="s">
        <v>19</v>
      </c>
      <c r="K310" s="1">
        <v>20</v>
      </c>
      <c r="L310" s="1" t="s">
        <v>20</v>
      </c>
      <c r="M310" s="1" t="s">
        <v>30</v>
      </c>
      <c r="N310" s="1">
        <v>51</v>
      </c>
      <c r="O310" s="3" t="s">
        <v>22</v>
      </c>
    </row>
    <row r="311" spans="1:15" x14ac:dyDescent="0.25">
      <c r="A311" s="2" t="s">
        <v>348</v>
      </c>
      <c r="B311" s="1">
        <v>35</v>
      </c>
      <c r="C311" s="1" t="s">
        <v>28</v>
      </c>
      <c r="D311" s="1" t="s">
        <v>29</v>
      </c>
      <c r="E311" s="1" t="s">
        <v>25</v>
      </c>
      <c r="F311" s="1">
        <v>118586</v>
      </c>
      <c r="G311" s="1"/>
      <c r="H311" s="1">
        <v>5</v>
      </c>
      <c r="I311" s="1">
        <v>4</v>
      </c>
      <c r="J311" s="1" t="s">
        <v>20</v>
      </c>
      <c r="K311" s="1">
        <v>14</v>
      </c>
      <c r="L311" s="1" t="s">
        <v>19</v>
      </c>
      <c r="M311" s="1" t="s">
        <v>21</v>
      </c>
      <c r="N311" s="1">
        <v>33</v>
      </c>
      <c r="O311" s="3" t="s">
        <v>22</v>
      </c>
    </row>
    <row r="312" spans="1:15" x14ac:dyDescent="0.25">
      <c r="A312" s="2" t="s">
        <v>349</v>
      </c>
      <c r="B312" s="1">
        <v>42</v>
      </c>
      <c r="C312" s="1" t="s">
        <v>28</v>
      </c>
      <c r="D312" s="1" t="s">
        <v>17</v>
      </c>
      <c r="E312" s="1" t="s">
        <v>18</v>
      </c>
      <c r="F312" s="1">
        <v>89786</v>
      </c>
      <c r="G312" s="1">
        <v>5</v>
      </c>
      <c r="H312" s="1">
        <v>3</v>
      </c>
      <c r="I312" s="1">
        <v>1</v>
      </c>
      <c r="J312" s="1" t="s">
        <v>19</v>
      </c>
      <c r="K312" s="1">
        <v>5</v>
      </c>
      <c r="L312" s="1" t="s">
        <v>20</v>
      </c>
      <c r="M312" s="1" t="s">
        <v>21</v>
      </c>
      <c r="N312" s="1">
        <v>57</v>
      </c>
      <c r="O312" s="3" t="s">
        <v>22</v>
      </c>
    </row>
    <row r="313" spans="1:15" x14ac:dyDescent="0.25">
      <c r="A313" s="2" t="s">
        <v>350</v>
      </c>
      <c r="B313" s="1">
        <v>37</v>
      </c>
      <c r="C313" s="1" t="s">
        <v>16</v>
      </c>
      <c r="D313" s="1" t="s">
        <v>51</v>
      </c>
      <c r="E313" s="1" t="s">
        <v>35</v>
      </c>
      <c r="F313" s="1">
        <v>69497</v>
      </c>
      <c r="G313" s="1">
        <v>2</v>
      </c>
      <c r="H313" s="1">
        <v>4</v>
      </c>
      <c r="I313" s="1">
        <v>2</v>
      </c>
      <c r="J313" s="1" t="s">
        <v>20</v>
      </c>
      <c r="K313" s="1">
        <v>3</v>
      </c>
      <c r="L313" s="1" t="s">
        <v>20</v>
      </c>
      <c r="M313" s="1" t="s">
        <v>21</v>
      </c>
      <c r="N313" s="1">
        <v>80</v>
      </c>
      <c r="O313" s="3" t="s">
        <v>22</v>
      </c>
    </row>
    <row r="314" spans="1:15" x14ac:dyDescent="0.25">
      <c r="A314" s="2" t="s">
        <v>351</v>
      </c>
      <c r="B314" s="1">
        <v>49</v>
      </c>
      <c r="C314" s="1" t="s">
        <v>28</v>
      </c>
      <c r="D314" s="1" t="s">
        <v>17</v>
      </c>
      <c r="E314" s="1" t="s">
        <v>25</v>
      </c>
      <c r="F314" s="1"/>
      <c r="G314" s="1">
        <v>2</v>
      </c>
      <c r="H314" s="1">
        <v>4</v>
      </c>
      <c r="I314" s="1">
        <v>1</v>
      </c>
      <c r="J314" s="1" t="s">
        <v>19</v>
      </c>
      <c r="K314" s="1">
        <v>17</v>
      </c>
      <c r="L314" s="1" t="s">
        <v>20</v>
      </c>
      <c r="M314" s="1" t="s">
        <v>26</v>
      </c>
      <c r="N314" s="1">
        <v>66</v>
      </c>
      <c r="O314" s="3" t="s">
        <v>31</v>
      </c>
    </row>
    <row r="315" spans="1:15" x14ac:dyDescent="0.25">
      <c r="A315" s="2" t="s">
        <v>352</v>
      </c>
      <c r="B315" s="1"/>
      <c r="C315" s="1" t="s">
        <v>16</v>
      </c>
      <c r="D315" s="1" t="s">
        <v>17</v>
      </c>
      <c r="E315" s="1" t="s">
        <v>41</v>
      </c>
      <c r="F315" s="1">
        <v>31573</v>
      </c>
      <c r="G315" s="1">
        <v>4</v>
      </c>
      <c r="H315" s="1">
        <v>5</v>
      </c>
      <c r="I315" s="1">
        <v>5</v>
      </c>
      <c r="J315" s="1" t="s">
        <v>20</v>
      </c>
      <c r="K315" s="1">
        <v>16</v>
      </c>
      <c r="L315" s="1" t="s">
        <v>20</v>
      </c>
      <c r="M315" s="1" t="s">
        <v>30</v>
      </c>
      <c r="N315" s="1">
        <v>36</v>
      </c>
      <c r="O315" s="3" t="s">
        <v>36</v>
      </c>
    </row>
    <row r="316" spans="1:15" x14ac:dyDescent="0.25">
      <c r="A316" s="2" t="s">
        <v>353</v>
      </c>
      <c r="B316" s="1">
        <v>46</v>
      </c>
      <c r="C316" s="1" t="s">
        <v>28</v>
      </c>
      <c r="D316" s="1" t="s">
        <v>29</v>
      </c>
      <c r="E316" s="1" t="s">
        <v>33</v>
      </c>
      <c r="F316" s="1">
        <v>35481</v>
      </c>
      <c r="G316" s="1">
        <v>2</v>
      </c>
      <c r="H316" s="1">
        <v>4</v>
      </c>
      <c r="I316" s="1">
        <v>5</v>
      </c>
      <c r="J316" s="1" t="s">
        <v>20</v>
      </c>
      <c r="K316" s="1">
        <v>17</v>
      </c>
      <c r="L316" s="1" t="s">
        <v>20</v>
      </c>
      <c r="M316" s="1" t="s">
        <v>26</v>
      </c>
      <c r="N316" s="1">
        <v>75</v>
      </c>
      <c r="O316" s="3" t="s">
        <v>44</v>
      </c>
    </row>
    <row r="317" spans="1:15" x14ac:dyDescent="0.25">
      <c r="A317" s="2" t="s">
        <v>354</v>
      </c>
      <c r="B317" s="1">
        <v>33</v>
      </c>
      <c r="C317" s="1" t="s">
        <v>16</v>
      </c>
      <c r="D317" s="1" t="s">
        <v>24</v>
      </c>
      <c r="E317" s="1" t="s">
        <v>38</v>
      </c>
      <c r="F317" s="1">
        <v>56086</v>
      </c>
      <c r="G317" s="1">
        <v>3</v>
      </c>
      <c r="H317" s="1">
        <v>2</v>
      </c>
      <c r="I317" s="1">
        <v>2</v>
      </c>
      <c r="J317" s="1" t="s">
        <v>20</v>
      </c>
      <c r="K317" s="1">
        <v>3</v>
      </c>
      <c r="L317" s="1" t="s">
        <v>20</v>
      </c>
      <c r="M317" s="1" t="s">
        <v>26</v>
      </c>
      <c r="N317" s="1">
        <v>66</v>
      </c>
      <c r="O317" s="3" t="s">
        <v>31</v>
      </c>
    </row>
    <row r="318" spans="1:15" x14ac:dyDescent="0.25">
      <c r="A318" s="2" t="s">
        <v>355</v>
      </c>
      <c r="B318" s="1">
        <v>57</v>
      </c>
      <c r="C318" s="1" t="s">
        <v>28</v>
      </c>
      <c r="D318" s="1" t="s">
        <v>17</v>
      </c>
      <c r="E318" s="1" t="s">
        <v>38</v>
      </c>
      <c r="F318" s="1">
        <v>87979</v>
      </c>
      <c r="G318" s="1">
        <v>3</v>
      </c>
      <c r="H318" s="1">
        <v>4</v>
      </c>
      <c r="I318" s="1">
        <v>1</v>
      </c>
      <c r="J318" s="1" t="s">
        <v>19</v>
      </c>
      <c r="K318" s="1">
        <v>0</v>
      </c>
      <c r="L318" s="1" t="s">
        <v>20</v>
      </c>
      <c r="M318" s="1" t="s">
        <v>21</v>
      </c>
      <c r="N318" s="1">
        <v>11</v>
      </c>
      <c r="O318" s="3" t="s">
        <v>22</v>
      </c>
    </row>
    <row r="319" spans="1:15" x14ac:dyDescent="0.25">
      <c r="A319" s="2" t="s">
        <v>356</v>
      </c>
      <c r="B319" s="1">
        <v>33</v>
      </c>
      <c r="C319" s="1" t="s">
        <v>28</v>
      </c>
      <c r="D319" s="1" t="s">
        <v>51</v>
      </c>
      <c r="E319" s="1" t="s">
        <v>18</v>
      </c>
      <c r="F319" s="1">
        <v>107573</v>
      </c>
      <c r="G319" s="1">
        <v>3</v>
      </c>
      <c r="H319" s="1">
        <v>2</v>
      </c>
      <c r="I319" s="1">
        <v>1</v>
      </c>
      <c r="J319" s="1" t="s">
        <v>20</v>
      </c>
      <c r="K319" s="1">
        <v>6</v>
      </c>
      <c r="L319" s="1" t="s">
        <v>19</v>
      </c>
      <c r="M319" s="1" t="s">
        <v>30</v>
      </c>
      <c r="N319" s="1">
        <v>62</v>
      </c>
      <c r="O319" s="3" t="s">
        <v>22</v>
      </c>
    </row>
    <row r="320" spans="1:15" x14ac:dyDescent="0.25">
      <c r="A320" s="2" t="s">
        <v>357</v>
      </c>
      <c r="B320" s="1">
        <v>56</v>
      </c>
      <c r="C320" s="1" t="s">
        <v>16</v>
      </c>
      <c r="D320" s="1" t="s">
        <v>17</v>
      </c>
      <c r="E320" s="1" t="s">
        <v>38</v>
      </c>
      <c r="F320" s="1">
        <v>91566</v>
      </c>
      <c r="G320" s="1">
        <v>4</v>
      </c>
      <c r="H320" s="1">
        <v>2</v>
      </c>
      <c r="I320" s="1">
        <v>5</v>
      </c>
      <c r="J320" s="1" t="s">
        <v>20</v>
      </c>
      <c r="K320" s="1">
        <v>1</v>
      </c>
      <c r="L320" s="1" t="s">
        <v>20</v>
      </c>
      <c r="M320" s="1" t="s">
        <v>30</v>
      </c>
      <c r="N320" s="1">
        <v>58</v>
      </c>
      <c r="O320" s="3" t="s">
        <v>36</v>
      </c>
    </row>
    <row r="321" spans="1:15" x14ac:dyDescent="0.25">
      <c r="A321" s="2" t="s">
        <v>358</v>
      </c>
      <c r="B321" s="1">
        <v>56</v>
      </c>
      <c r="C321" s="1" t="s">
        <v>16</v>
      </c>
      <c r="D321" s="1" t="s">
        <v>40</v>
      </c>
      <c r="E321" s="1" t="s">
        <v>38</v>
      </c>
      <c r="F321" s="1">
        <v>50943</v>
      </c>
      <c r="G321" s="1">
        <v>2</v>
      </c>
      <c r="H321" s="1">
        <v>5</v>
      </c>
      <c r="I321" s="1">
        <v>4</v>
      </c>
      <c r="J321" s="1" t="s">
        <v>19</v>
      </c>
      <c r="K321" s="1">
        <v>20</v>
      </c>
      <c r="L321" s="1" t="s">
        <v>20</v>
      </c>
      <c r="M321" s="1" t="s">
        <v>26</v>
      </c>
      <c r="N321" s="1">
        <v>74</v>
      </c>
      <c r="O321" s="3" t="s">
        <v>31</v>
      </c>
    </row>
    <row r="322" spans="1:15" x14ac:dyDescent="0.25">
      <c r="A322" s="2" t="s">
        <v>359</v>
      </c>
      <c r="B322" s="1">
        <v>33</v>
      </c>
      <c r="C322" s="1" t="s">
        <v>16</v>
      </c>
      <c r="D322" s="1" t="s">
        <v>29</v>
      </c>
      <c r="E322" s="1" t="s">
        <v>33</v>
      </c>
      <c r="F322" s="1">
        <v>41255</v>
      </c>
      <c r="G322" s="1">
        <v>1</v>
      </c>
      <c r="H322" s="1">
        <v>2</v>
      </c>
      <c r="I322" s="1">
        <v>2</v>
      </c>
      <c r="J322" s="1" t="s">
        <v>19</v>
      </c>
      <c r="K322" s="1">
        <v>12</v>
      </c>
      <c r="L322" s="1" t="s">
        <v>19</v>
      </c>
      <c r="M322" s="1" t="s">
        <v>30</v>
      </c>
      <c r="N322" s="1">
        <v>40</v>
      </c>
      <c r="O322" s="3" t="s">
        <v>31</v>
      </c>
    </row>
    <row r="323" spans="1:15" x14ac:dyDescent="0.25">
      <c r="A323" s="2" t="s">
        <v>360</v>
      </c>
      <c r="B323" s="1">
        <v>37</v>
      </c>
      <c r="C323" s="1" t="s">
        <v>16</v>
      </c>
      <c r="D323" s="1" t="s">
        <v>51</v>
      </c>
      <c r="E323" s="1" t="s">
        <v>25</v>
      </c>
      <c r="F323" s="1">
        <v>51425</v>
      </c>
      <c r="G323" s="1">
        <v>1</v>
      </c>
      <c r="H323" s="1">
        <v>3</v>
      </c>
      <c r="I323" s="1">
        <v>4</v>
      </c>
      <c r="J323" s="1" t="s">
        <v>19</v>
      </c>
      <c r="K323" s="1">
        <v>1</v>
      </c>
      <c r="L323" s="1" t="s">
        <v>19</v>
      </c>
      <c r="M323" s="1" t="s">
        <v>30</v>
      </c>
      <c r="N323" s="1">
        <v>11</v>
      </c>
      <c r="O323" s="3" t="s">
        <v>31</v>
      </c>
    </row>
    <row r="324" spans="1:15" x14ac:dyDescent="0.25">
      <c r="A324" s="2" t="s">
        <v>361</v>
      </c>
      <c r="B324" s="1">
        <v>40</v>
      </c>
      <c r="C324" s="1" t="s">
        <v>28</v>
      </c>
      <c r="D324" s="1" t="s">
        <v>24</v>
      </c>
      <c r="E324" s="1" t="s">
        <v>25</v>
      </c>
      <c r="F324" s="1">
        <v>64934</v>
      </c>
      <c r="G324" s="1">
        <v>1</v>
      </c>
      <c r="H324" s="1">
        <v>3</v>
      </c>
      <c r="I324" s="1">
        <v>5</v>
      </c>
      <c r="J324" s="1" t="s">
        <v>19</v>
      </c>
      <c r="K324" s="1">
        <v>5</v>
      </c>
      <c r="L324" s="1" t="s">
        <v>19</v>
      </c>
      <c r="M324" s="1" t="s">
        <v>26</v>
      </c>
      <c r="N324" s="1">
        <v>25</v>
      </c>
      <c r="O324" s="3" t="s">
        <v>42</v>
      </c>
    </row>
    <row r="325" spans="1:15" x14ac:dyDescent="0.25">
      <c r="A325" s="2" t="s">
        <v>362</v>
      </c>
      <c r="B325" s="1">
        <v>55</v>
      </c>
      <c r="C325" s="1" t="s">
        <v>28</v>
      </c>
      <c r="D325" s="1" t="s">
        <v>40</v>
      </c>
      <c r="E325" s="1" t="s">
        <v>18</v>
      </c>
      <c r="F325" s="1"/>
      <c r="G325" s="1">
        <v>2</v>
      </c>
      <c r="H325" s="1">
        <v>3</v>
      </c>
      <c r="I325" s="1">
        <v>3</v>
      </c>
      <c r="J325" s="1" t="s">
        <v>20</v>
      </c>
      <c r="K325" s="1">
        <v>9</v>
      </c>
      <c r="L325" s="1" t="s">
        <v>19</v>
      </c>
      <c r="M325" s="1" t="s">
        <v>26</v>
      </c>
      <c r="N325" s="1">
        <v>72</v>
      </c>
      <c r="O325" s="3" t="s">
        <v>42</v>
      </c>
    </row>
    <row r="326" spans="1:15" x14ac:dyDescent="0.25">
      <c r="A326" s="2" t="s">
        <v>363</v>
      </c>
      <c r="B326" s="1">
        <v>56</v>
      </c>
      <c r="C326" s="1" t="s">
        <v>16</v>
      </c>
      <c r="D326" s="1" t="s">
        <v>40</v>
      </c>
      <c r="E326" s="1" t="s">
        <v>38</v>
      </c>
      <c r="F326" s="1">
        <v>63351</v>
      </c>
      <c r="G326" s="1">
        <v>4</v>
      </c>
      <c r="H326" s="1">
        <v>2</v>
      </c>
      <c r="I326" s="1">
        <v>5</v>
      </c>
      <c r="J326" s="1" t="s">
        <v>19</v>
      </c>
      <c r="K326" s="1">
        <v>1</v>
      </c>
      <c r="L326" s="1" t="s">
        <v>20</v>
      </c>
      <c r="M326" s="1" t="s">
        <v>30</v>
      </c>
      <c r="N326" s="1">
        <v>19</v>
      </c>
      <c r="O326" s="3" t="s">
        <v>42</v>
      </c>
    </row>
    <row r="327" spans="1:15" x14ac:dyDescent="0.25">
      <c r="A327" s="2" t="s">
        <v>364</v>
      </c>
      <c r="B327" s="1">
        <v>37</v>
      </c>
      <c r="C327" s="1" t="s">
        <v>28</v>
      </c>
      <c r="D327" s="1" t="s">
        <v>40</v>
      </c>
      <c r="E327" s="1" t="s">
        <v>25</v>
      </c>
      <c r="F327" s="1">
        <v>118990</v>
      </c>
      <c r="G327" s="1">
        <v>3</v>
      </c>
      <c r="H327" s="1">
        <v>5</v>
      </c>
      <c r="I327" s="1">
        <v>5</v>
      </c>
      <c r="J327" s="1" t="s">
        <v>20</v>
      </c>
      <c r="K327" s="1">
        <v>15</v>
      </c>
      <c r="L327" s="1" t="s">
        <v>19</v>
      </c>
      <c r="M327" s="1" t="s">
        <v>30</v>
      </c>
      <c r="N327" s="1">
        <v>29</v>
      </c>
      <c r="O327" s="3" t="s">
        <v>36</v>
      </c>
    </row>
    <row r="328" spans="1:15" x14ac:dyDescent="0.25">
      <c r="A328" s="2" t="s">
        <v>365</v>
      </c>
      <c r="B328" s="1"/>
      <c r="C328" s="1" t="s">
        <v>16</v>
      </c>
      <c r="D328" s="1" t="s">
        <v>40</v>
      </c>
      <c r="E328" s="1" t="s">
        <v>41</v>
      </c>
      <c r="F328" s="1">
        <v>119360</v>
      </c>
      <c r="G328" s="1">
        <v>5</v>
      </c>
      <c r="H328" s="1">
        <v>5</v>
      </c>
      <c r="I328" s="1">
        <v>1</v>
      </c>
      <c r="J328" s="1" t="s">
        <v>19</v>
      </c>
      <c r="K328" s="1">
        <v>6</v>
      </c>
      <c r="L328" s="1" t="s">
        <v>19</v>
      </c>
      <c r="M328" s="1" t="s">
        <v>26</v>
      </c>
      <c r="N328" s="1">
        <v>59</v>
      </c>
      <c r="O328" s="3" t="s">
        <v>22</v>
      </c>
    </row>
    <row r="329" spans="1:15" x14ac:dyDescent="0.25">
      <c r="A329" s="2" t="s">
        <v>366</v>
      </c>
      <c r="B329" s="1">
        <v>34</v>
      </c>
      <c r="C329" s="1" t="s">
        <v>28</v>
      </c>
      <c r="D329" s="1" t="s">
        <v>17</v>
      </c>
      <c r="E329" s="1" t="s">
        <v>35</v>
      </c>
      <c r="F329" s="1">
        <v>115896</v>
      </c>
      <c r="G329" s="1">
        <v>2</v>
      </c>
      <c r="H329" s="1">
        <v>1</v>
      </c>
      <c r="I329" s="1">
        <v>4</v>
      </c>
      <c r="J329" s="1" t="s">
        <v>20</v>
      </c>
      <c r="K329" s="1">
        <v>1</v>
      </c>
      <c r="L329" s="1" t="s">
        <v>19</v>
      </c>
      <c r="M329" s="1" t="s">
        <v>21</v>
      </c>
      <c r="N329" s="1">
        <v>11</v>
      </c>
      <c r="O329" s="3" t="s">
        <v>44</v>
      </c>
    </row>
    <row r="330" spans="1:15" x14ac:dyDescent="0.25">
      <c r="A330" s="2" t="s">
        <v>367</v>
      </c>
      <c r="B330" s="1">
        <v>37</v>
      </c>
      <c r="C330" s="1" t="s">
        <v>16</v>
      </c>
      <c r="D330" s="1" t="s">
        <v>24</v>
      </c>
      <c r="E330" s="1" t="s">
        <v>41</v>
      </c>
      <c r="F330" s="1">
        <v>51901</v>
      </c>
      <c r="G330" s="1">
        <v>4</v>
      </c>
      <c r="H330" s="1">
        <v>4</v>
      </c>
      <c r="I330" s="1">
        <v>4</v>
      </c>
      <c r="J330" s="1" t="s">
        <v>20</v>
      </c>
      <c r="K330" s="1">
        <v>13</v>
      </c>
      <c r="L330" s="1" t="s">
        <v>20</v>
      </c>
      <c r="M330" s="1" t="s">
        <v>21</v>
      </c>
      <c r="N330" s="1">
        <v>54</v>
      </c>
      <c r="O330" s="3" t="s">
        <v>22</v>
      </c>
    </row>
    <row r="331" spans="1:15" x14ac:dyDescent="0.25">
      <c r="A331" s="2" t="s">
        <v>368</v>
      </c>
      <c r="B331" s="1">
        <v>55</v>
      </c>
      <c r="C331" s="1" t="s">
        <v>16</v>
      </c>
      <c r="D331" s="1" t="s">
        <v>17</v>
      </c>
      <c r="E331" s="1" t="s">
        <v>38</v>
      </c>
      <c r="F331" s="1">
        <v>99048</v>
      </c>
      <c r="G331" s="1">
        <v>1</v>
      </c>
      <c r="H331" s="1">
        <v>5</v>
      </c>
      <c r="I331" s="1">
        <v>1</v>
      </c>
      <c r="J331" s="1" t="s">
        <v>19</v>
      </c>
      <c r="K331" s="1">
        <v>11</v>
      </c>
      <c r="L331" s="1" t="s">
        <v>19</v>
      </c>
      <c r="M331" s="1" t="s">
        <v>30</v>
      </c>
      <c r="N331" s="1">
        <v>43</v>
      </c>
      <c r="O331" s="3" t="s">
        <v>31</v>
      </c>
    </row>
    <row r="332" spans="1:15" x14ac:dyDescent="0.25">
      <c r="A332" s="2" t="s">
        <v>369</v>
      </c>
      <c r="B332" s="1">
        <v>26</v>
      </c>
      <c r="C332" s="1" t="s">
        <v>28</v>
      </c>
      <c r="D332" s="1" t="s">
        <v>49</v>
      </c>
      <c r="E332" s="1" t="s">
        <v>33</v>
      </c>
      <c r="F332" s="1">
        <v>69788</v>
      </c>
      <c r="G332" s="1">
        <v>1</v>
      </c>
      <c r="H332" s="1">
        <v>4</v>
      </c>
      <c r="I332" s="1">
        <v>2</v>
      </c>
      <c r="J332" s="1" t="s">
        <v>19</v>
      </c>
      <c r="K332" s="1">
        <v>4</v>
      </c>
      <c r="L332" s="1" t="s">
        <v>20</v>
      </c>
      <c r="M332" s="1" t="s">
        <v>26</v>
      </c>
      <c r="N332" s="1">
        <v>42</v>
      </c>
      <c r="O332" s="3" t="s">
        <v>44</v>
      </c>
    </row>
    <row r="333" spans="1:15" x14ac:dyDescent="0.25">
      <c r="A333" s="2" t="s">
        <v>370</v>
      </c>
      <c r="B333" s="1">
        <v>40</v>
      </c>
      <c r="C333" s="1" t="s">
        <v>28</v>
      </c>
      <c r="D333" s="1" t="s">
        <v>40</v>
      </c>
      <c r="E333" s="1" t="s">
        <v>25</v>
      </c>
      <c r="F333" s="1">
        <v>90754</v>
      </c>
      <c r="G333" s="1">
        <v>2</v>
      </c>
      <c r="H333" s="1">
        <v>1</v>
      </c>
      <c r="I333" s="1">
        <v>1</v>
      </c>
      <c r="J333" s="1" t="s">
        <v>19</v>
      </c>
      <c r="K333" s="1">
        <v>18</v>
      </c>
      <c r="L333" s="1" t="s">
        <v>20</v>
      </c>
      <c r="M333" s="1" t="s">
        <v>26</v>
      </c>
      <c r="N333" s="1">
        <v>75</v>
      </c>
      <c r="O333" s="3" t="s">
        <v>22</v>
      </c>
    </row>
    <row r="334" spans="1:15" x14ac:dyDescent="0.25">
      <c r="A334" s="2" t="s">
        <v>371</v>
      </c>
      <c r="B334" s="1">
        <v>40</v>
      </c>
      <c r="C334" s="1" t="s">
        <v>16</v>
      </c>
      <c r="D334" s="1" t="s">
        <v>17</v>
      </c>
      <c r="E334" s="1" t="s">
        <v>38</v>
      </c>
      <c r="F334" s="1">
        <v>113150</v>
      </c>
      <c r="G334" s="1">
        <v>3</v>
      </c>
      <c r="H334" s="1">
        <v>2</v>
      </c>
      <c r="I334" s="1">
        <v>4</v>
      </c>
      <c r="J334" s="1" t="s">
        <v>19</v>
      </c>
      <c r="K334" s="1">
        <v>5</v>
      </c>
      <c r="L334" s="1" t="s">
        <v>19</v>
      </c>
      <c r="M334" s="1" t="s">
        <v>21</v>
      </c>
      <c r="N334" s="1">
        <v>37</v>
      </c>
      <c r="O334" s="3" t="s">
        <v>44</v>
      </c>
    </row>
    <row r="335" spans="1:15" x14ac:dyDescent="0.25">
      <c r="A335" s="2" t="s">
        <v>372</v>
      </c>
      <c r="B335" s="1">
        <v>28</v>
      </c>
      <c r="C335" s="1" t="s">
        <v>16</v>
      </c>
      <c r="D335" s="1" t="s">
        <v>17</v>
      </c>
      <c r="E335" s="1" t="s">
        <v>25</v>
      </c>
      <c r="F335" s="1">
        <v>25128</v>
      </c>
      <c r="G335" s="1">
        <v>5</v>
      </c>
      <c r="H335" s="1">
        <v>4</v>
      </c>
      <c r="I335" s="1">
        <v>5</v>
      </c>
      <c r="J335" s="1" t="s">
        <v>19</v>
      </c>
      <c r="K335" s="1">
        <v>9</v>
      </c>
      <c r="L335" s="1" t="s">
        <v>19</v>
      </c>
      <c r="M335" s="1" t="s">
        <v>30</v>
      </c>
      <c r="N335" s="1">
        <v>17</v>
      </c>
      <c r="O335" s="3" t="s">
        <v>44</v>
      </c>
    </row>
    <row r="336" spans="1:15" x14ac:dyDescent="0.25">
      <c r="A336" s="2" t="s">
        <v>373</v>
      </c>
      <c r="B336" s="1">
        <v>58</v>
      </c>
      <c r="C336" s="1" t="s">
        <v>28</v>
      </c>
      <c r="D336" s="1" t="s">
        <v>29</v>
      </c>
      <c r="E336" s="1" t="s">
        <v>18</v>
      </c>
      <c r="F336" s="1">
        <v>34805</v>
      </c>
      <c r="G336" s="1">
        <v>2</v>
      </c>
      <c r="H336" s="1">
        <v>1</v>
      </c>
      <c r="I336" s="1">
        <v>3</v>
      </c>
      <c r="J336" s="1" t="s">
        <v>19</v>
      </c>
      <c r="K336" s="1">
        <v>6</v>
      </c>
      <c r="L336" s="1" t="s">
        <v>20</v>
      </c>
      <c r="M336" s="1" t="s">
        <v>30</v>
      </c>
      <c r="N336" s="1">
        <v>62</v>
      </c>
      <c r="O336" s="3" t="s">
        <v>36</v>
      </c>
    </row>
    <row r="337" spans="1:15" x14ac:dyDescent="0.25">
      <c r="A337" s="2" t="s">
        <v>374</v>
      </c>
      <c r="B337" s="1">
        <v>40</v>
      </c>
      <c r="C337" s="1" t="s">
        <v>16</v>
      </c>
      <c r="D337" s="1" t="s">
        <v>24</v>
      </c>
      <c r="E337" s="1" t="s">
        <v>25</v>
      </c>
      <c r="F337" s="1">
        <v>65774</v>
      </c>
      <c r="G337" s="1">
        <v>3</v>
      </c>
      <c r="H337" s="1">
        <v>4</v>
      </c>
      <c r="I337" s="1">
        <v>2</v>
      </c>
      <c r="J337" s="1" t="s">
        <v>19</v>
      </c>
      <c r="K337" s="1">
        <v>10</v>
      </c>
      <c r="L337" s="1" t="s">
        <v>19</v>
      </c>
      <c r="M337" s="1" t="s">
        <v>21</v>
      </c>
      <c r="N337" s="1">
        <v>60</v>
      </c>
      <c r="O337" s="3" t="s">
        <v>36</v>
      </c>
    </row>
    <row r="338" spans="1:15" x14ac:dyDescent="0.25">
      <c r="A338" s="2" t="s">
        <v>375</v>
      </c>
      <c r="B338" s="1">
        <v>44</v>
      </c>
      <c r="C338" s="1" t="s">
        <v>16</v>
      </c>
      <c r="D338" s="1" t="s">
        <v>17</v>
      </c>
      <c r="E338" s="1" t="s">
        <v>38</v>
      </c>
      <c r="F338" s="1">
        <v>61458</v>
      </c>
      <c r="G338" s="1">
        <v>4</v>
      </c>
      <c r="H338" s="1">
        <v>4</v>
      </c>
      <c r="I338" s="1">
        <v>4</v>
      </c>
      <c r="J338" s="1" t="s">
        <v>20</v>
      </c>
      <c r="K338" s="1">
        <v>9</v>
      </c>
      <c r="L338" s="1" t="s">
        <v>20</v>
      </c>
      <c r="M338" s="1" t="s">
        <v>26</v>
      </c>
      <c r="N338" s="1">
        <v>18</v>
      </c>
      <c r="O338" s="3" t="s">
        <v>44</v>
      </c>
    </row>
    <row r="339" spans="1:15" x14ac:dyDescent="0.25">
      <c r="A339" s="2" t="s">
        <v>376</v>
      </c>
      <c r="B339" s="1">
        <v>26</v>
      </c>
      <c r="C339" s="1" t="s">
        <v>28</v>
      </c>
      <c r="D339" s="1" t="s">
        <v>51</v>
      </c>
      <c r="E339" s="1" t="s">
        <v>25</v>
      </c>
      <c r="F339" s="1">
        <v>43746</v>
      </c>
      <c r="G339" s="1">
        <v>3</v>
      </c>
      <c r="H339" s="1">
        <v>1</v>
      </c>
      <c r="I339" s="1">
        <v>1</v>
      </c>
      <c r="J339" s="1" t="s">
        <v>19</v>
      </c>
      <c r="K339" s="1">
        <v>16</v>
      </c>
      <c r="L339" s="1" t="s">
        <v>19</v>
      </c>
      <c r="M339" s="1" t="s">
        <v>26</v>
      </c>
      <c r="N339" s="1">
        <v>79</v>
      </c>
      <c r="O339" s="3" t="s">
        <v>42</v>
      </c>
    </row>
    <row r="340" spans="1:15" x14ac:dyDescent="0.25">
      <c r="A340" s="2" t="s">
        <v>377</v>
      </c>
      <c r="B340" s="1">
        <v>58</v>
      </c>
      <c r="C340" s="1" t="s">
        <v>16</v>
      </c>
      <c r="D340" s="1" t="s">
        <v>40</v>
      </c>
      <c r="E340" s="1" t="s">
        <v>25</v>
      </c>
      <c r="F340" s="1">
        <v>52159</v>
      </c>
      <c r="G340" s="1">
        <v>5</v>
      </c>
      <c r="H340" s="1">
        <v>5</v>
      </c>
      <c r="I340" s="1">
        <v>4</v>
      </c>
      <c r="J340" s="1" t="s">
        <v>19</v>
      </c>
      <c r="K340" s="1">
        <v>11</v>
      </c>
      <c r="L340" s="1" t="s">
        <v>20</v>
      </c>
      <c r="M340" s="1" t="s">
        <v>21</v>
      </c>
      <c r="N340" s="1">
        <v>80</v>
      </c>
      <c r="O340" s="3" t="s">
        <v>36</v>
      </c>
    </row>
    <row r="341" spans="1:15" x14ac:dyDescent="0.25">
      <c r="A341" s="2" t="s">
        <v>378</v>
      </c>
      <c r="B341" s="1">
        <v>29</v>
      </c>
      <c r="C341" s="1" t="s">
        <v>28</v>
      </c>
      <c r="D341" s="1" t="s">
        <v>24</v>
      </c>
      <c r="E341" s="1" t="s">
        <v>25</v>
      </c>
      <c r="F341" s="1">
        <v>29869</v>
      </c>
      <c r="G341" s="1">
        <v>4</v>
      </c>
      <c r="H341" s="1">
        <v>3</v>
      </c>
      <c r="I341" s="1">
        <v>5</v>
      </c>
      <c r="J341" s="1" t="s">
        <v>19</v>
      </c>
      <c r="K341" s="1">
        <v>7</v>
      </c>
      <c r="L341" s="1" t="s">
        <v>19</v>
      </c>
      <c r="M341" s="1" t="s">
        <v>26</v>
      </c>
      <c r="N341" s="1">
        <v>22</v>
      </c>
      <c r="O341" s="3" t="s">
        <v>42</v>
      </c>
    </row>
    <row r="342" spans="1:15" x14ac:dyDescent="0.25">
      <c r="A342" s="2" t="s">
        <v>379</v>
      </c>
      <c r="B342" s="1">
        <v>31</v>
      </c>
      <c r="C342" s="1" t="s">
        <v>16</v>
      </c>
      <c r="D342" s="1" t="s">
        <v>24</v>
      </c>
      <c r="E342" s="1" t="s">
        <v>25</v>
      </c>
      <c r="F342" s="1">
        <v>104430</v>
      </c>
      <c r="G342" s="1">
        <v>2</v>
      </c>
      <c r="H342" s="1">
        <v>4</v>
      </c>
      <c r="I342" s="1">
        <v>3</v>
      </c>
      <c r="J342" s="1" t="s">
        <v>19</v>
      </c>
      <c r="K342" s="1">
        <v>7</v>
      </c>
      <c r="L342" s="1" t="s">
        <v>20</v>
      </c>
      <c r="M342" s="1" t="s">
        <v>21</v>
      </c>
      <c r="N342" s="1">
        <v>13</v>
      </c>
      <c r="O342" s="3" t="s">
        <v>36</v>
      </c>
    </row>
    <row r="343" spans="1:15" x14ac:dyDescent="0.25">
      <c r="A343" s="2" t="s">
        <v>380</v>
      </c>
      <c r="B343" s="1">
        <v>44</v>
      </c>
      <c r="C343" s="1" t="s">
        <v>16</v>
      </c>
      <c r="D343" s="1" t="s">
        <v>40</v>
      </c>
      <c r="E343" s="1" t="s">
        <v>38</v>
      </c>
      <c r="F343" s="1">
        <v>45102</v>
      </c>
      <c r="G343" s="1">
        <v>5</v>
      </c>
      <c r="H343" s="1">
        <v>3</v>
      </c>
      <c r="I343" s="1">
        <v>4</v>
      </c>
      <c r="J343" s="1" t="s">
        <v>20</v>
      </c>
      <c r="K343" s="1">
        <v>14</v>
      </c>
      <c r="L343" s="1" t="s">
        <v>19</v>
      </c>
      <c r="M343" s="1" t="s">
        <v>21</v>
      </c>
      <c r="N343" s="1">
        <v>46</v>
      </c>
      <c r="O343" s="3" t="s">
        <v>22</v>
      </c>
    </row>
    <row r="344" spans="1:15" x14ac:dyDescent="0.25">
      <c r="A344" s="2" t="s">
        <v>381</v>
      </c>
      <c r="B344" s="1">
        <v>54</v>
      </c>
      <c r="C344" s="1" t="s">
        <v>28</v>
      </c>
      <c r="D344" s="1" t="s">
        <v>17</v>
      </c>
      <c r="E344" s="1" t="s">
        <v>18</v>
      </c>
      <c r="F344" s="1">
        <v>93842</v>
      </c>
      <c r="G344" s="1">
        <v>5</v>
      </c>
      <c r="H344" s="1">
        <v>5</v>
      </c>
      <c r="I344" s="1">
        <v>2</v>
      </c>
      <c r="J344" s="1" t="s">
        <v>20</v>
      </c>
      <c r="K344" s="1">
        <v>20</v>
      </c>
      <c r="L344" s="1" t="s">
        <v>20</v>
      </c>
      <c r="M344" s="1" t="s">
        <v>30</v>
      </c>
      <c r="N344" s="1">
        <v>80</v>
      </c>
      <c r="O344" s="3" t="s">
        <v>22</v>
      </c>
    </row>
    <row r="345" spans="1:15" x14ac:dyDescent="0.25">
      <c r="A345" s="2" t="s">
        <v>382</v>
      </c>
      <c r="B345" s="1">
        <v>54</v>
      </c>
      <c r="C345" s="1" t="s">
        <v>28</v>
      </c>
      <c r="D345" s="1" t="s">
        <v>49</v>
      </c>
      <c r="E345" s="1" t="s">
        <v>41</v>
      </c>
      <c r="F345" s="1">
        <v>85681</v>
      </c>
      <c r="G345" s="1">
        <v>4</v>
      </c>
      <c r="H345" s="1">
        <v>3</v>
      </c>
      <c r="I345" s="1">
        <v>3</v>
      </c>
      <c r="J345" s="1" t="s">
        <v>20</v>
      </c>
      <c r="K345" s="1">
        <v>15</v>
      </c>
      <c r="L345" s="1" t="s">
        <v>19</v>
      </c>
      <c r="M345" s="1" t="s">
        <v>26</v>
      </c>
      <c r="N345" s="1">
        <v>22</v>
      </c>
      <c r="O345" s="3" t="s">
        <v>42</v>
      </c>
    </row>
    <row r="346" spans="1:15" x14ac:dyDescent="0.25">
      <c r="A346" s="2" t="s">
        <v>383</v>
      </c>
      <c r="B346" s="1">
        <v>31</v>
      </c>
      <c r="C346" s="1" t="s">
        <v>16</v>
      </c>
      <c r="D346" s="1" t="s">
        <v>40</v>
      </c>
      <c r="E346" s="1" t="s">
        <v>25</v>
      </c>
      <c r="F346" s="1">
        <v>102341</v>
      </c>
      <c r="G346" s="1">
        <v>3</v>
      </c>
      <c r="H346" s="1">
        <v>2</v>
      </c>
      <c r="I346" s="1">
        <v>2</v>
      </c>
      <c r="J346" s="1" t="s">
        <v>19</v>
      </c>
      <c r="K346" s="1">
        <v>5</v>
      </c>
      <c r="L346" s="1" t="s">
        <v>20</v>
      </c>
      <c r="M346" s="1" t="s">
        <v>26</v>
      </c>
      <c r="N346" s="1">
        <v>20</v>
      </c>
      <c r="O346" s="3" t="s">
        <v>44</v>
      </c>
    </row>
    <row r="347" spans="1:15" x14ac:dyDescent="0.25">
      <c r="A347" s="2" t="s">
        <v>384</v>
      </c>
      <c r="B347" s="1">
        <v>47</v>
      </c>
      <c r="C347" s="1" t="s">
        <v>28</v>
      </c>
      <c r="D347" s="1" t="s">
        <v>17</v>
      </c>
      <c r="E347" s="1" t="s">
        <v>35</v>
      </c>
      <c r="F347" s="1">
        <v>81113</v>
      </c>
      <c r="G347" s="1">
        <v>4</v>
      </c>
      <c r="H347" s="1">
        <v>4</v>
      </c>
      <c r="I347" s="1">
        <v>2</v>
      </c>
      <c r="J347" s="1" t="s">
        <v>19</v>
      </c>
      <c r="K347" s="1">
        <v>20</v>
      </c>
      <c r="L347" s="1" t="s">
        <v>20</v>
      </c>
      <c r="M347" s="1" t="s">
        <v>21</v>
      </c>
      <c r="N347" s="1">
        <v>36</v>
      </c>
      <c r="O347" s="3" t="s">
        <v>22</v>
      </c>
    </row>
    <row r="348" spans="1:15" x14ac:dyDescent="0.25">
      <c r="A348" s="2" t="s">
        <v>385</v>
      </c>
      <c r="B348" s="1">
        <v>29</v>
      </c>
      <c r="C348" s="1" t="s">
        <v>16</v>
      </c>
      <c r="D348" s="1" t="s">
        <v>51</v>
      </c>
      <c r="E348" s="1" t="s">
        <v>38</v>
      </c>
      <c r="F348" s="1">
        <v>85193</v>
      </c>
      <c r="G348" s="1">
        <v>1</v>
      </c>
      <c r="H348" s="1">
        <v>5</v>
      </c>
      <c r="I348" s="1">
        <v>2</v>
      </c>
      <c r="J348" s="1" t="s">
        <v>19</v>
      </c>
      <c r="K348" s="1">
        <v>5</v>
      </c>
      <c r="L348" s="1" t="s">
        <v>20</v>
      </c>
      <c r="M348" s="1" t="s">
        <v>21</v>
      </c>
      <c r="N348" s="1">
        <v>71</v>
      </c>
      <c r="O348" s="3" t="s">
        <v>42</v>
      </c>
    </row>
    <row r="349" spans="1:15" x14ac:dyDescent="0.25">
      <c r="A349" s="2" t="s">
        <v>386</v>
      </c>
      <c r="B349" s="1">
        <v>57</v>
      </c>
      <c r="C349" s="1" t="s">
        <v>16</v>
      </c>
      <c r="D349" s="1" t="s">
        <v>17</v>
      </c>
      <c r="E349" s="1" t="s">
        <v>38</v>
      </c>
      <c r="F349" s="1">
        <v>104736</v>
      </c>
      <c r="G349" s="1">
        <v>3</v>
      </c>
      <c r="H349" s="1">
        <v>1</v>
      </c>
      <c r="I349" s="1">
        <v>2</v>
      </c>
      <c r="J349" s="1" t="s">
        <v>20</v>
      </c>
      <c r="K349" s="1">
        <v>19</v>
      </c>
      <c r="L349" s="1" t="s">
        <v>20</v>
      </c>
      <c r="M349" s="1" t="s">
        <v>30</v>
      </c>
      <c r="N349" s="1">
        <v>26</v>
      </c>
      <c r="O349" s="3" t="s">
        <v>44</v>
      </c>
    </row>
    <row r="350" spans="1:15" x14ac:dyDescent="0.25">
      <c r="A350" s="2" t="s">
        <v>387</v>
      </c>
      <c r="B350" s="1">
        <v>47</v>
      </c>
      <c r="C350" s="1" t="s">
        <v>16</v>
      </c>
      <c r="D350" s="1" t="s">
        <v>24</v>
      </c>
      <c r="E350" s="1" t="s">
        <v>41</v>
      </c>
      <c r="F350" s="1">
        <v>99685</v>
      </c>
      <c r="G350" s="1">
        <v>5</v>
      </c>
      <c r="H350" s="1">
        <v>3</v>
      </c>
      <c r="I350" s="1">
        <v>2</v>
      </c>
      <c r="J350" s="1" t="s">
        <v>20</v>
      </c>
      <c r="K350" s="1">
        <v>14</v>
      </c>
      <c r="L350" s="1" t="s">
        <v>19</v>
      </c>
      <c r="M350" s="1" t="s">
        <v>21</v>
      </c>
      <c r="N350" s="1">
        <v>53</v>
      </c>
      <c r="O350" s="3" t="s">
        <v>42</v>
      </c>
    </row>
    <row r="351" spans="1:15" x14ac:dyDescent="0.25">
      <c r="A351" s="2" t="s">
        <v>388</v>
      </c>
      <c r="B351" s="1">
        <v>29</v>
      </c>
      <c r="C351" s="1" t="s">
        <v>16</v>
      </c>
      <c r="D351" s="1" t="s">
        <v>40</v>
      </c>
      <c r="E351" s="1" t="s">
        <v>41</v>
      </c>
      <c r="F351" s="1">
        <v>86512</v>
      </c>
      <c r="G351" s="1">
        <v>5</v>
      </c>
      <c r="H351" s="1">
        <v>4</v>
      </c>
      <c r="I351" s="1">
        <v>2</v>
      </c>
      <c r="J351" s="1" t="s">
        <v>19</v>
      </c>
      <c r="K351" s="1">
        <v>5</v>
      </c>
      <c r="L351" s="1" t="s">
        <v>20</v>
      </c>
      <c r="M351" s="1" t="s">
        <v>26</v>
      </c>
      <c r="N351" s="1">
        <v>9</v>
      </c>
      <c r="O351" s="3" t="s">
        <v>31</v>
      </c>
    </row>
    <row r="352" spans="1:15" x14ac:dyDescent="0.25">
      <c r="A352" s="2" t="s">
        <v>389</v>
      </c>
      <c r="B352" s="1">
        <v>53</v>
      </c>
      <c r="C352" s="1" t="s">
        <v>16</v>
      </c>
      <c r="D352" s="1" t="s">
        <v>40</v>
      </c>
      <c r="E352" s="1" t="s">
        <v>33</v>
      </c>
      <c r="F352" s="1">
        <v>104427</v>
      </c>
      <c r="G352" s="1">
        <v>2</v>
      </c>
      <c r="H352" s="1">
        <v>5</v>
      </c>
      <c r="I352" s="1">
        <v>5</v>
      </c>
      <c r="J352" s="1" t="s">
        <v>19</v>
      </c>
      <c r="K352" s="1">
        <v>20</v>
      </c>
      <c r="L352" s="1" t="s">
        <v>20</v>
      </c>
      <c r="M352" s="1" t="s">
        <v>26</v>
      </c>
      <c r="N352" s="1">
        <v>58</v>
      </c>
      <c r="O352" s="3" t="s">
        <v>36</v>
      </c>
    </row>
    <row r="353" spans="1:15" x14ac:dyDescent="0.25">
      <c r="A353" s="2" t="s">
        <v>390</v>
      </c>
      <c r="B353" s="1">
        <v>23</v>
      </c>
      <c r="C353" s="1" t="s">
        <v>28</v>
      </c>
      <c r="D353" s="1" t="s">
        <v>51</v>
      </c>
      <c r="E353" s="1" t="s">
        <v>33</v>
      </c>
      <c r="F353" s="1">
        <v>118751</v>
      </c>
      <c r="G353" s="1">
        <v>4</v>
      </c>
      <c r="H353" s="1">
        <v>3</v>
      </c>
      <c r="I353" s="1">
        <v>5</v>
      </c>
      <c r="J353" s="1" t="s">
        <v>19</v>
      </c>
      <c r="K353" s="1">
        <v>13</v>
      </c>
      <c r="L353" s="1" t="s">
        <v>19</v>
      </c>
      <c r="M353" s="1" t="s">
        <v>30</v>
      </c>
      <c r="N353" s="1">
        <v>66</v>
      </c>
      <c r="O353" s="3" t="s">
        <v>44</v>
      </c>
    </row>
    <row r="354" spans="1:15" x14ac:dyDescent="0.25">
      <c r="A354" s="2" t="s">
        <v>391</v>
      </c>
      <c r="B354" s="1">
        <v>26</v>
      </c>
      <c r="C354" s="1" t="s">
        <v>28</v>
      </c>
      <c r="D354" s="1" t="s">
        <v>24</v>
      </c>
      <c r="E354" s="1" t="s">
        <v>25</v>
      </c>
      <c r="F354" s="1">
        <v>71562</v>
      </c>
      <c r="G354" s="1">
        <v>3</v>
      </c>
      <c r="H354" s="1">
        <v>2</v>
      </c>
      <c r="I354" s="1">
        <v>1</v>
      </c>
      <c r="J354" s="1" t="s">
        <v>19</v>
      </c>
      <c r="K354" s="1">
        <v>18</v>
      </c>
      <c r="L354" s="1" t="s">
        <v>19</v>
      </c>
      <c r="M354" s="1" t="s">
        <v>26</v>
      </c>
      <c r="N354" s="1">
        <v>5</v>
      </c>
      <c r="O354" s="3" t="s">
        <v>42</v>
      </c>
    </row>
    <row r="355" spans="1:15" x14ac:dyDescent="0.25">
      <c r="A355" s="2" t="s">
        <v>392</v>
      </c>
      <c r="B355" s="1">
        <v>34</v>
      </c>
      <c r="C355" s="1" t="s">
        <v>28</v>
      </c>
      <c r="D355" s="1" t="s">
        <v>49</v>
      </c>
      <c r="E355" s="1" t="s">
        <v>18</v>
      </c>
      <c r="F355" s="1">
        <v>31970</v>
      </c>
      <c r="G355" s="1">
        <v>2</v>
      </c>
      <c r="H355" s="1">
        <v>4</v>
      </c>
      <c r="I355" s="1">
        <v>5</v>
      </c>
      <c r="J355" s="1" t="s">
        <v>20</v>
      </c>
      <c r="K355" s="1">
        <v>8</v>
      </c>
      <c r="L355" s="1" t="s">
        <v>20</v>
      </c>
      <c r="M355" s="1" t="s">
        <v>26</v>
      </c>
      <c r="N355" s="1">
        <v>51</v>
      </c>
      <c r="O355" s="3" t="s">
        <v>31</v>
      </c>
    </row>
    <row r="356" spans="1:15" x14ac:dyDescent="0.25">
      <c r="A356" s="2" t="s">
        <v>393</v>
      </c>
      <c r="B356" s="1">
        <v>38</v>
      </c>
      <c r="C356" s="1" t="s">
        <v>28</v>
      </c>
      <c r="D356" s="1" t="s">
        <v>51</v>
      </c>
      <c r="E356" s="1" t="s">
        <v>33</v>
      </c>
      <c r="F356" s="1">
        <v>90365</v>
      </c>
      <c r="G356" s="1"/>
      <c r="H356" s="1">
        <v>4</v>
      </c>
      <c r="I356" s="1">
        <v>2</v>
      </c>
      <c r="J356" s="1" t="s">
        <v>20</v>
      </c>
      <c r="K356" s="1">
        <v>17</v>
      </c>
      <c r="L356" s="1" t="s">
        <v>20</v>
      </c>
      <c r="M356" s="1" t="s">
        <v>30</v>
      </c>
      <c r="N356" s="1">
        <v>44</v>
      </c>
      <c r="O356" s="3" t="s">
        <v>31</v>
      </c>
    </row>
    <row r="357" spans="1:15" x14ac:dyDescent="0.25">
      <c r="A357" s="2" t="s">
        <v>394</v>
      </c>
      <c r="B357" s="1">
        <v>43</v>
      </c>
      <c r="C357" s="1" t="s">
        <v>28</v>
      </c>
      <c r="D357" s="1" t="s">
        <v>17</v>
      </c>
      <c r="E357" s="1" t="s">
        <v>41</v>
      </c>
      <c r="F357" s="1">
        <v>104413</v>
      </c>
      <c r="G357" s="1">
        <v>1</v>
      </c>
      <c r="H357" s="1">
        <v>2</v>
      </c>
      <c r="I357" s="1">
        <v>4</v>
      </c>
      <c r="J357" s="1" t="s">
        <v>19</v>
      </c>
      <c r="K357" s="1">
        <v>3</v>
      </c>
      <c r="L357" s="1" t="s">
        <v>19</v>
      </c>
      <c r="M357" s="1" t="s">
        <v>26</v>
      </c>
      <c r="N357" s="1">
        <v>56</v>
      </c>
      <c r="O357" s="3" t="s">
        <v>36</v>
      </c>
    </row>
    <row r="358" spans="1:15" x14ac:dyDescent="0.25">
      <c r="A358" s="2" t="s">
        <v>395</v>
      </c>
      <c r="B358" s="1">
        <v>56</v>
      </c>
      <c r="C358" s="1" t="s">
        <v>16</v>
      </c>
      <c r="D358" s="1" t="s">
        <v>51</v>
      </c>
      <c r="E358" s="1" t="s">
        <v>33</v>
      </c>
      <c r="F358" s="1">
        <v>101345</v>
      </c>
      <c r="G358" s="1">
        <v>1</v>
      </c>
      <c r="H358" s="1"/>
      <c r="I358" s="1">
        <v>2</v>
      </c>
      <c r="J358" s="1" t="s">
        <v>20</v>
      </c>
      <c r="K358" s="1">
        <v>19</v>
      </c>
      <c r="L358" s="1" t="s">
        <v>20</v>
      </c>
      <c r="M358" s="1" t="s">
        <v>21</v>
      </c>
      <c r="N358" s="1">
        <v>13</v>
      </c>
      <c r="O358" s="3" t="s">
        <v>36</v>
      </c>
    </row>
    <row r="359" spans="1:15" x14ac:dyDescent="0.25">
      <c r="A359" s="2" t="s">
        <v>396</v>
      </c>
      <c r="B359" s="1">
        <v>35</v>
      </c>
      <c r="C359" s="1" t="s">
        <v>28</v>
      </c>
      <c r="D359" s="1" t="s">
        <v>40</v>
      </c>
      <c r="E359" s="1" t="s">
        <v>25</v>
      </c>
      <c r="F359" s="1">
        <v>22948</v>
      </c>
      <c r="G359" s="1">
        <v>4</v>
      </c>
      <c r="H359" s="1">
        <v>4</v>
      </c>
      <c r="I359" s="1">
        <v>5</v>
      </c>
      <c r="J359" s="1" t="s">
        <v>20</v>
      </c>
      <c r="K359" s="1">
        <v>19</v>
      </c>
      <c r="L359" s="1" t="s">
        <v>19</v>
      </c>
      <c r="M359" s="1" t="s">
        <v>21</v>
      </c>
      <c r="N359" s="1">
        <v>68</v>
      </c>
      <c r="O359" s="3" t="s">
        <v>42</v>
      </c>
    </row>
    <row r="360" spans="1:15" x14ac:dyDescent="0.25">
      <c r="A360" s="2" t="s">
        <v>397</v>
      </c>
      <c r="B360" s="1">
        <v>21</v>
      </c>
      <c r="C360" s="1" t="s">
        <v>16</v>
      </c>
      <c r="D360" s="1" t="s">
        <v>17</v>
      </c>
      <c r="E360" s="1" t="s">
        <v>25</v>
      </c>
      <c r="F360" s="1">
        <v>55487</v>
      </c>
      <c r="G360" s="1">
        <v>2</v>
      </c>
      <c r="H360" s="1">
        <v>1</v>
      </c>
      <c r="I360" s="1">
        <v>5</v>
      </c>
      <c r="J360" s="1" t="s">
        <v>19</v>
      </c>
      <c r="K360" s="1">
        <v>19</v>
      </c>
      <c r="L360" s="1" t="s">
        <v>19</v>
      </c>
      <c r="M360" s="1" t="s">
        <v>26</v>
      </c>
      <c r="N360" s="1">
        <v>9</v>
      </c>
      <c r="O360" s="3" t="s">
        <v>36</v>
      </c>
    </row>
    <row r="361" spans="1:15" x14ac:dyDescent="0.25">
      <c r="A361" s="2" t="s">
        <v>398</v>
      </c>
      <c r="B361" s="1">
        <v>36</v>
      </c>
      <c r="C361" s="1" t="s">
        <v>16</v>
      </c>
      <c r="D361" s="1" t="s">
        <v>51</v>
      </c>
      <c r="E361" s="1" t="s">
        <v>35</v>
      </c>
      <c r="F361" s="1">
        <v>54167</v>
      </c>
      <c r="G361" s="1">
        <v>4</v>
      </c>
      <c r="H361" s="1">
        <v>3</v>
      </c>
      <c r="I361" s="1">
        <v>4</v>
      </c>
      <c r="J361" s="1" t="s">
        <v>20</v>
      </c>
      <c r="K361" s="1">
        <v>18</v>
      </c>
      <c r="L361" s="1" t="s">
        <v>19</v>
      </c>
      <c r="M361" s="1" t="s">
        <v>26</v>
      </c>
      <c r="N361" s="1">
        <v>6</v>
      </c>
      <c r="O361" s="3" t="s">
        <v>22</v>
      </c>
    </row>
    <row r="362" spans="1:15" x14ac:dyDescent="0.25">
      <c r="A362" s="2" t="s">
        <v>399</v>
      </c>
      <c r="B362" s="1">
        <v>26</v>
      </c>
      <c r="C362" s="1" t="s">
        <v>28</v>
      </c>
      <c r="D362" s="1" t="s">
        <v>17</v>
      </c>
      <c r="E362" s="1" t="s">
        <v>25</v>
      </c>
      <c r="F362" s="1">
        <v>94406</v>
      </c>
      <c r="G362" s="1">
        <v>3</v>
      </c>
      <c r="H362" s="1">
        <v>3</v>
      </c>
      <c r="I362" s="1">
        <v>3</v>
      </c>
      <c r="J362" s="1" t="s">
        <v>19</v>
      </c>
      <c r="K362" s="1">
        <v>19</v>
      </c>
      <c r="L362" s="1" t="s">
        <v>19</v>
      </c>
      <c r="M362" s="1" t="s">
        <v>30</v>
      </c>
      <c r="N362" s="1">
        <v>56</v>
      </c>
      <c r="O362" s="3" t="s">
        <v>31</v>
      </c>
    </row>
    <row r="363" spans="1:15" x14ac:dyDescent="0.25">
      <c r="A363" s="2" t="s">
        <v>400</v>
      </c>
      <c r="B363" s="1">
        <v>21</v>
      </c>
      <c r="C363" s="1" t="s">
        <v>28</v>
      </c>
      <c r="D363" s="1" t="s">
        <v>51</v>
      </c>
      <c r="E363" s="1" t="s">
        <v>33</v>
      </c>
      <c r="F363" s="1">
        <v>84353</v>
      </c>
      <c r="G363" s="1">
        <v>1</v>
      </c>
      <c r="H363" s="1">
        <v>5</v>
      </c>
      <c r="I363" s="1">
        <v>1</v>
      </c>
      <c r="J363" s="1" t="s">
        <v>20</v>
      </c>
      <c r="K363" s="1">
        <v>10</v>
      </c>
      <c r="L363" s="1" t="s">
        <v>19</v>
      </c>
      <c r="M363" s="1" t="s">
        <v>26</v>
      </c>
      <c r="N363" s="1">
        <v>37</v>
      </c>
      <c r="O363" s="3" t="s">
        <v>31</v>
      </c>
    </row>
    <row r="364" spans="1:15" x14ac:dyDescent="0.25">
      <c r="A364" s="2" t="s">
        <v>401</v>
      </c>
      <c r="B364" s="1">
        <v>57</v>
      </c>
      <c r="C364" s="1" t="s">
        <v>28</v>
      </c>
      <c r="D364" s="1" t="s">
        <v>17</v>
      </c>
      <c r="E364" s="1" t="s">
        <v>33</v>
      </c>
      <c r="F364" s="1">
        <v>67424</v>
      </c>
      <c r="G364" s="1">
        <v>5</v>
      </c>
      <c r="H364" s="1">
        <v>4</v>
      </c>
      <c r="I364" s="1">
        <v>2</v>
      </c>
      <c r="J364" s="1" t="s">
        <v>20</v>
      </c>
      <c r="K364" s="1">
        <v>14</v>
      </c>
      <c r="L364" s="1" t="s">
        <v>20</v>
      </c>
      <c r="M364" s="1" t="s">
        <v>26</v>
      </c>
      <c r="N364" s="1">
        <v>8</v>
      </c>
      <c r="O364" s="3" t="s">
        <v>42</v>
      </c>
    </row>
    <row r="365" spans="1:15" x14ac:dyDescent="0.25">
      <c r="A365" s="2" t="s">
        <v>402</v>
      </c>
      <c r="B365" s="1">
        <v>28</v>
      </c>
      <c r="C365" s="1" t="s">
        <v>28</v>
      </c>
      <c r="D365" s="1" t="s">
        <v>40</v>
      </c>
      <c r="E365" s="1" t="s">
        <v>33</v>
      </c>
      <c r="F365" s="1">
        <v>101055</v>
      </c>
      <c r="G365" s="1">
        <v>2</v>
      </c>
      <c r="H365" s="1">
        <v>2</v>
      </c>
      <c r="I365" s="1">
        <v>3</v>
      </c>
      <c r="J365" s="1" t="s">
        <v>20</v>
      </c>
      <c r="K365" s="1">
        <v>11</v>
      </c>
      <c r="L365" s="1" t="s">
        <v>19</v>
      </c>
      <c r="M365" s="1" t="s">
        <v>26</v>
      </c>
      <c r="N365" s="1">
        <v>38</v>
      </c>
      <c r="O365" s="3" t="s">
        <v>44</v>
      </c>
    </row>
    <row r="366" spans="1:15" x14ac:dyDescent="0.25">
      <c r="A366" s="2" t="s">
        <v>403</v>
      </c>
      <c r="B366" s="1">
        <v>39</v>
      </c>
      <c r="C366" s="1" t="s">
        <v>16</v>
      </c>
      <c r="D366" s="1" t="s">
        <v>49</v>
      </c>
      <c r="E366" s="1" t="s">
        <v>38</v>
      </c>
      <c r="F366" s="1">
        <v>116145</v>
      </c>
      <c r="G366" s="1">
        <v>3</v>
      </c>
      <c r="H366" s="1">
        <v>1</v>
      </c>
      <c r="I366" s="1">
        <v>5</v>
      </c>
      <c r="J366" s="1" t="s">
        <v>19</v>
      </c>
      <c r="K366" s="1">
        <v>15</v>
      </c>
      <c r="L366" s="1" t="s">
        <v>20</v>
      </c>
      <c r="M366" s="1" t="s">
        <v>30</v>
      </c>
      <c r="N366" s="1">
        <v>32</v>
      </c>
      <c r="O366" s="3" t="s">
        <v>31</v>
      </c>
    </row>
    <row r="367" spans="1:15" x14ac:dyDescent="0.25">
      <c r="A367" s="2" t="s">
        <v>404</v>
      </c>
      <c r="B367" s="1">
        <v>38</v>
      </c>
      <c r="C367" s="1" t="s">
        <v>16</v>
      </c>
      <c r="D367" s="1" t="s">
        <v>17</v>
      </c>
      <c r="E367" s="1" t="s">
        <v>38</v>
      </c>
      <c r="F367" s="1">
        <v>42925</v>
      </c>
      <c r="G367" s="1">
        <v>4</v>
      </c>
      <c r="H367" s="1">
        <v>2</v>
      </c>
      <c r="I367" s="1">
        <v>2</v>
      </c>
      <c r="J367" s="1" t="s">
        <v>19</v>
      </c>
      <c r="K367" s="1">
        <v>8</v>
      </c>
      <c r="L367" s="1" t="s">
        <v>19</v>
      </c>
      <c r="M367" s="1" t="s">
        <v>21</v>
      </c>
      <c r="N367" s="1">
        <v>30</v>
      </c>
      <c r="O367" s="3" t="s">
        <v>44</v>
      </c>
    </row>
    <row r="368" spans="1:15" x14ac:dyDescent="0.25">
      <c r="A368" s="2" t="s">
        <v>405</v>
      </c>
      <c r="B368" s="1">
        <v>43</v>
      </c>
      <c r="C368" s="1" t="s">
        <v>16</v>
      </c>
      <c r="D368" s="1" t="s">
        <v>40</v>
      </c>
      <c r="E368" s="1" t="s">
        <v>35</v>
      </c>
      <c r="F368" s="1">
        <v>28287</v>
      </c>
      <c r="G368" s="1">
        <v>4</v>
      </c>
      <c r="H368" s="1">
        <v>5</v>
      </c>
      <c r="I368" s="1">
        <v>1</v>
      </c>
      <c r="J368" s="1" t="s">
        <v>19</v>
      </c>
      <c r="K368" s="1">
        <v>15</v>
      </c>
      <c r="L368" s="1" t="s">
        <v>20</v>
      </c>
      <c r="M368" s="1" t="s">
        <v>26</v>
      </c>
      <c r="N368" s="1">
        <v>45</v>
      </c>
      <c r="O368" s="3" t="s">
        <v>42</v>
      </c>
    </row>
    <row r="369" spans="1:15" x14ac:dyDescent="0.25">
      <c r="A369" s="2" t="s">
        <v>406</v>
      </c>
      <c r="B369" s="1">
        <v>57</v>
      </c>
      <c r="C369" s="1" t="s">
        <v>28</v>
      </c>
      <c r="D369" s="1" t="s">
        <v>49</v>
      </c>
      <c r="E369" s="1" t="s">
        <v>41</v>
      </c>
      <c r="F369" s="1">
        <v>118173</v>
      </c>
      <c r="G369" s="1">
        <v>5</v>
      </c>
      <c r="H369" s="1">
        <v>3</v>
      </c>
      <c r="I369" s="1">
        <v>4</v>
      </c>
      <c r="J369" s="1" t="s">
        <v>19</v>
      </c>
      <c r="K369" s="1">
        <v>18</v>
      </c>
      <c r="L369" s="1" t="s">
        <v>19</v>
      </c>
      <c r="M369" s="1" t="s">
        <v>21</v>
      </c>
      <c r="N369" s="1">
        <v>72</v>
      </c>
      <c r="O369" s="3" t="s">
        <v>42</v>
      </c>
    </row>
    <row r="370" spans="1:15" x14ac:dyDescent="0.25">
      <c r="A370" s="2" t="s">
        <v>407</v>
      </c>
      <c r="B370" s="1">
        <v>51</v>
      </c>
      <c r="C370" s="1" t="s">
        <v>16</v>
      </c>
      <c r="D370" s="1" t="s">
        <v>24</v>
      </c>
      <c r="E370" s="1" t="s">
        <v>18</v>
      </c>
      <c r="F370" s="1"/>
      <c r="G370" s="1">
        <v>2</v>
      </c>
      <c r="H370" s="1">
        <v>4</v>
      </c>
      <c r="I370" s="1">
        <v>1</v>
      </c>
      <c r="J370" s="1" t="s">
        <v>20</v>
      </c>
      <c r="K370" s="1">
        <v>10</v>
      </c>
      <c r="L370" s="1" t="s">
        <v>19</v>
      </c>
      <c r="M370" s="1" t="s">
        <v>21</v>
      </c>
      <c r="N370" s="1">
        <v>31</v>
      </c>
      <c r="O370" s="3" t="s">
        <v>42</v>
      </c>
    </row>
    <row r="371" spans="1:15" x14ac:dyDescent="0.25">
      <c r="A371" s="2" t="s">
        <v>408</v>
      </c>
      <c r="B371" s="1">
        <v>58</v>
      </c>
      <c r="C371" s="1" t="s">
        <v>16</v>
      </c>
      <c r="D371" s="1" t="s">
        <v>29</v>
      </c>
      <c r="E371" s="1" t="s">
        <v>18</v>
      </c>
      <c r="F371" s="1">
        <v>98318</v>
      </c>
      <c r="G371" s="1">
        <v>3</v>
      </c>
      <c r="H371" s="1">
        <v>2</v>
      </c>
      <c r="I371" s="1">
        <v>5</v>
      </c>
      <c r="J371" s="1" t="s">
        <v>20</v>
      </c>
      <c r="K371" s="1">
        <v>7</v>
      </c>
      <c r="L371" s="1" t="s">
        <v>20</v>
      </c>
      <c r="M371" s="1" t="s">
        <v>30</v>
      </c>
      <c r="N371" s="1">
        <v>48</v>
      </c>
      <c r="O371" s="3" t="s">
        <v>36</v>
      </c>
    </row>
    <row r="372" spans="1:15" x14ac:dyDescent="0.25">
      <c r="A372" s="2" t="s">
        <v>409</v>
      </c>
      <c r="B372" s="1">
        <v>32</v>
      </c>
      <c r="C372" s="1" t="s">
        <v>28</v>
      </c>
      <c r="D372" s="1" t="s">
        <v>49</v>
      </c>
      <c r="E372" s="1" t="s">
        <v>41</v>
      </c>
      <c r="F372" s="1">
        <v>72931</v>
      </c>
      <c r="G372" s="1">
        <v>3</v>
      </c>
      <c r="H372" s="1">
        <v>3</v>
      </c>
      <c r="I372" s="1">
        <v>4</v>
      </c>
      <c r="J372" s="1" t="s">
        <v>20</v>
      </c>
      <c r="K372" s="1">
        <v>14</v>
      </c>
      <c r="L372" s="1" t="s">
        <v>19</v>
      </c>
      <c r="M372" s="1" t="s">
        <v>26</v>
      </c>
      <c r="N372" s="1">
        <v>21</v>
      </c>
      <c r="O372" s="3" t="s">
        <v>31</v>
      </c>
    </row>
    <row r="373" spans="1:15" x14ac:dyDescent="0.25">
      <c r="A373" s="2" t="s">
        <v>410</v>
      </c>
      <c r="B373" s="1">
        <v>35</v>
      </c>
      <c r="C373" s="1" t="s">
        <v>16</v>
      </c>
      <c r="D373" s="1" t="s">
        <v>17</v>
      </c>
      <c r="E373" s="1" t="s">
        <v>18</v>
      </c>
      <c r="F373" s="1">
        <v>48907</v>
      </c>
      <c r="G373" s="1">
        <v>5</v>
      </c>
      <c r="H373" s="1">
        <v>4</v>
      </c>
      <c r="I373" s="1">
        <v>4</v>
      </c>
      <c r="J373" s="1" t="s">
        <v>19</v>
      </c>
      <c r="K373" s="1">
        <v>4</v>
      </c>
      <c r="L373" s="1" t="s">
        <v>19</v>
      </c>
      <c r="M373" s="1" t="s">
        <v>30</v>
      </c>
      <c r="N373" s="1">
        <v>6</v>
      </c>
      <c r="O373" s="3" t="s">
        <v>44</v>
      </c>
    </row>
    <row r="374" spans="1:15" x14ac:dyDescent="0.25">
      <c r="A374" s="2" t="s">
        <v>411</v>
      </c>
      <c r="B374" s="1">
        <v>47</v>
      </c>
      <c r="C374" s="1" t="s">
        <v>28</v>
      </c>
      <c r="D374" s="1" t="s">
        <v>51</v>
      </c>
      <c r="E374" s="1" t="s">
        <v>38</v>
      </c>
      <c r="F374" s="1">
        <v>85765</v>
      </c>
      <c r="G374" s="1">
        <v>5</v>
      </c>
      <c r="H374" s="1">
        <v>3</v>
      </c>
      <c r="I374" s="1">
        <v>4</v>
      </c>
      <c r="J374" s="1" t="s">
        <v>20</v>
      </c>
      <c r="K374" s="1">
        <v>8</v>
      </c>
      <c r="L374" s="1" t="s">
        <v>19</v>
      </c>
      <c r="M374" s="1" t="s">
        <v>30</v>
      </c>
      <c r="N374" s="1">
        <v>17</v>
      </c>
      <c r="O374" s="3" t="s">
        <v>44</v>
      </c>
    </row>
    <row r="375" spans="1:15" x14ac:dyDescent="0.25">
      <c r="A375" s="2" t="s">
        <v>412</v>
      </c>
      <c r="B375" s="1">
        <v>24</v>
      </c>
      <c r="C375" s="1" t="s">
        <v>16</v>
      </c>
      <c r="D375" s="1" t="s">
        <v>29</v>
      </c>
      <c r="E375" s="1" t="s">
        <v>33</v>
      </c>
      <c r="F375" s="1">
        <v>100557</v>
      </c>
      <c r="G375" s="1">
        <v>1</v>
      </c>
      <c r="H375" s="1">
        <v>4</v>
      </c>
      <c r="I375" s="1"/>
      <c r="J375" s="1" t="s">
        <v>20</v>
      </c>
      <c r="K375" s="1">
        <v>11</v>
      </c>
      <c r="L375" s="1" t="s">
        <v>20</v>
      </c>
      <c r="M375" s="1" t="s">
        <v>26</v>
      </c>
      <c r="N375" s="1">
        <v>76</v>
      </c>
      <c r="O375" s="3" t="s">
        <v>36</v>
      </c>
    </row>
    <row r="376" spans="1:15" x14ac:dyDescent="0.25">
      <c r="A376" s="2" t="s">
        <v>413</v>
      </c>
      <c r="B376" s="1">
        <v>43</v>
      </c>
      <c r="C376" s="1" t="s">
        <v>16</v>
      </c>
      <c r="D376" s="1" t="s">
        <v>49</v>
      </c>
      <c r="E376" s="1" t="s">
        <v>35</v>
      </c>
      <c r="F376" s="1">
        <v>64018</v>
      </c>
      <c r="G376" s="1">
        <v>5</v>
      </c>
      <c r="H376" s="1">
        <v>2</v>
      </c>
      <c r="I376" s="1">
        <v>5</v>
      </c>
      <c r="J376" s="1" t="s">
        <v>19</v>
      </c>
      <c r="K376" s="1">
        <v>9</v>
      </c>
      <c r="L376" s="1" t="s">
        <v>20</v>
      </c>
      <c r="M376" s="1" t="s">
        <v>30</v>
      </c>
      <c r="N376" s="1">
        <v>70</v>
      </c>
      <c r="O376" s="3" t="s">
        <v>42</v>
      </c>
    </row>
    <row r="377" spans="1:15" x14ac:dyDescent="0.25">
      <c r="A377" s="2" t="s">
        <v>414</v>
      </c>
      <c r="B377" s="1">
        <v>49</v>
      </c>
      <c r="C377" s="1" t="s">
        <v>16</v>
      </c>
      <c r="D377" s="1" t="s">
        <v>49</v>
      </c>
      <c r="E377" s="1" t="s">
        <v>25</v>
      </c>
      <c r="F377" s="1">
        <v>55555</v>
      </c>
      <c r="G377" s="1">
        <v>4</v>
      </c>
      <c r="H377" s="1"/>
      <c r="I377" s="1">
        <v>2</v>
      </c>
      <c r="J377" s="1" t="s">
        <v>20</v>
      </c>
      <c r="K377" s="1">
        <v>13</v>
      </c>
      <c r="L377" s="1" t="s">
        <v>20</v>
      </c>
      <c r="M377" s="1" t="s">
        <v>21</v>
      </c>
      <c r="N377" s="1">
        <v>15</v>
      </c>
      <c r="O377" s="3" t="s">
        <v>44</v>
      </c>
    </row>
    <row r="378" spans="1:15" x14ac:dyDescent="0.25">
      <c r="A378" s="2" t="s">
        <v>415</v>
      </c>
      <c r="B378" s="1">
        <v>42</v>
      </c>
      <c r="C378" s="1" t="s">
        <v>16</v>
      </c>
      <c r="D378" s="1" t="s">
        <v>29</v>
      </c>
      <c r="E378" s="1" t="s">
        <v>18</v>
      </c>
      <c r="F378" s="1">
        <v>103591</v>
      </c>
      <c r="G378" s="1">
        <v>3</v>
      </c>
      <c r="H378" s="1">
        <v>3</v>
      </c>
      <c r="I378" s="1"/>
      <c r="J378" s="1" t="s">
        <v>20</v>
      </c>
      <c r="K378" s="1">
        <v>8</v>
      </c>
      <c r="L378" s="1" t="s">
        <v>20</v>
      </c>
      <c r="M378" s="1" t="s">
        <v>30</v>
      </c>
      <c r="N378" s="1">
        <v>80</v>
      </c>
      <c r="O378" s="3" t="s">
        <v>31</v>
      </c>
    </row>
    <row r="379" spans="1:15" x14ac:dyDescent="0.25">
      <c r="A379" s="2" t="s">
        <v>416</v>
      </c>
      <c r="B379" s="1">
        <v>49</v>
      </c>
      <c r="C379" s="1" t="s">
        <v>28</v>
      </c>
      <c r="D379" s="1" t="s">
        <v>51</v>
      </c>
      <c r="E379" s="1" t="s">
        <v>41</v>
      </c>
      <c r="F379" s="1">
        <v>21027</v>
      </c>
      <c r="G379" s="1">
        <v>2</v>
      </c>
      <c r="H379" s="1">
        <v>2</v>
      </c>
      <c r="I379" s="1">
        <v>3</v>
      </c>
      <c r="J379" s="1" t="s">
        <v>19</v>
      </c>
      <c r="K379" s="1">
        <v>6</v>
      </c>
      <c r="L379" s="1" t="s">
        <v>19</v>
      </c>
      <c r="M379" s="1" t="s">
        <v>30</v>
      </c>
      <c r="N379" s="1">
        <v>18</v>
      </c>
      <c r="O379" s="3" t="s">
        <v>22</v>
      </c>
    </row>
    <row r="380" spans="1:15" x14ac:dyDescent="0.25">
      <c r="A380" s="2" t="s">
        <v>417</v>
      </c>
      <c r="B380" s="1">
        <v>25</v>
      </c>
      <c r="C380" s="1" t="s">
        <v>28</v>
      </c>
      <c r="D380" s="1" t="s">
        <v>24</v>
      </c>
      <c r="E380" s="1" t="s">
        <v>35</v>
      </c>
      <c r="F380" s="1">
        <v>21455</v>
      </c>
      <c r="G380" s="1">
        <v>4</v>
      </c>
      <c r="H380" s="1">
        <v>5</v>
      </c>
      <c r="I380" s="1">
        <v>1</v>
      </c>
      <c r="J380" s="1" t="s">
        <v>19</v>
      </c>
      <c r="K380" s="1">
        <v>8</v>
      </c>
      <c r="L380" s="1" t="s">
        <v>19</v>
      </c>
      <c r="M380" s="1" t="s">
        <v>21</v>
      </c>
      <c r="N380" s="1">
        <v>54</v>
      </c>
      <c r="O380" s="3" t="s">
        <v>36</v>
      </c>
    </row>
    <row r="381" spans="1:15" x14ac:dyDescent="0.25">
      <c r="A381" s="2" t="s">
        <v>418</v>
      </c>
      <c r="B381" s="1">
        <v>35</v>
      </c>
      <c r="C381" s="1" t="s">
        <v>16</v>
      </c>
      <c r="D381" s="1" t="s">
        <v>17</v>
      </c>
      <c r="E381" s="1" t="s">
        <v>18</v>
      </c>
      <c r="F381" s="1">
        <v>76085</v>
      </c>
      <c r="G381" s="1">
        <v>2</v>
      </c>
      <c r="H381" s="1">
        <v>2</v>
      </c>
      <c r="I381" s="1">
        <v>5</v>
      </c>
      <c r="J381" s="1" t="s">
        <v>19</v>
      </c>
      <c r="K381" s="1">
        <v>0</v>
      </c>
      <c r="L381" s="1" t="s">
        <v>19</v>
      </c>
      <c r="M381" s="1" t="s">
        <v>26</v>
      </c>
      <c r="N381" s="1">
        <v>50</v>
      </c>
      <c r="O381" s="3" t="s">
        <v>36</v>
      </c>
    </row>
    <row r="382" spans="1:15" x14ac:dyDescent="0.25">
      <c r="A382" s="2" t="s">
        <v>419</v>
      </c>
      <c r="B382" s="1">
        <v>51</v>
      </c>
      <c r="C382" s="1" t="s">
        <v>28</v>
      </c>
      <c r="D382" s="1" t="s">
        <v>24</v>
      </c>
      <c r="E382" s="1" t="s">
        <v>18</v>
      </c>
      <c r="F382" s="1">
        <v>89898</v>
      </c>
      <c r="G382" s="1">
        <v>4</v>
      </c>
      <c r="H382" s="1">
        <v>2</v>
      </c>
      <c r="I382" s="1">
        <v>5</v>
      </c>
      <c r="J382" s="1" t="s">
        <v>19</v>
      </c>
      <c r="K382" s="1">
        <v>18</v>
      </c>
      <c r="L382" s="1" t="s">
        <v>20</v>
      </c>
      <c r="M382" s="1" t="s">
        <v>26</v>
      </c>
      <c r="N382" s="1">
        <v>77</v>
      </c>
      <c r="O382" s="3" t="s">
        <v>42</v>
      </c>
    </row>
    <row r="383" spans="1:15" x14ac:dyDescent="0.25">
      <c r="A383" s="2" t="s">
        <v>420</v>
      </c>
      <c r="B383" s="1">
        <v>54</v>
      </c>
      <c r="C383" s="1" t="s">
        <v>28</v>
      </c>
      <c r="D383" s="1" t="s">
        <v>29</v>
      </c>
      <c r="E383" s="1" t="s">
        <v>33</v>
      </c>
      <c r="F383" s="1">
        <v>88735</v>
      </c>
      <c r="G383" s="1">
        <v>2</v>
      </c>
      <c r="H383" s="1">
        <v>1</v>
      </c>
      <c r="I383" s="1">
        <v>4</v>
      </c>
      <c r="J383" s="1" t="s">
        <v>20</v>
      </c>
      <c r="K383" s="1">
        <v>11</v>
      </c>
      <c r="L383" s="1" t="s">
        <v>20</v>
      </c>
      <c r="M383" s="1" t="s">
        <v>30</v>
      </c>
      <c r="N383" s="1">
        <v>24</v>
      </c>
      <c r="O383" s="3" t="s">
        <v>36</v>
      </c>
    </row>
    <row r="384" spans="1:15" x14ac:dyDescent="0.25">
      <c r="A384" s="2" t="s">
        <v>421</v>
      </c>
      <c r="B384" s="1">
        <v>21</v>
      </c>
      <c r="C384" s="1" t="s">
        <v>16</v>
      </c>
      <c r="D384" s="1" t="s">
        <v>24</v>
      </c>
      <c r="E384" s="1" t="s">
        <v>41</v>
      </c>
      <c r="F384" s="1">
        <v>63073</v>
      </c>
      <c r="G384" s="1">
        <v>3</v>
      </c>
      <c r="H384" s="1">
        <v>4</v>
      </c>
      <c r="I384" s="1">
        <v>5</v>
      </c>
      <c r="J384" s="1" t="s">
        <v>19</v>
      </c>
      <c r="K384" s="1">
        <v>15</v>
      </c>
      <c r="L384" s="1" t="s">
        <v>20</v>
      </c>
      <c r="M384" s="1" t="s">
        <v>30</v>
      </c>
      <c r="N384" s="1">
        <v>6</v>
      </c>
      <c r="O384" s="3" t="s">
        <v>42</v>
      </c>
    </row>
    <row r="385" spans="1:15" x14ac:dyDescent="0.25">
      <c r="A385" s="2" t="s">
        <v>422</v>
      </c>
      <c r="B385" s="1">
        <v>39</v>
      </c>
      <c r="C385" s="1" t="s">
        <v>16</v>
      </c>
      <c r="D385" s="1" t="s">
        <v>40</v>
      </c>
      <c r="E385" s="1" t="s">
        <v>25</v>
      </c>
      <c r="F385" s="1">
        <v>66974</v>
      </c>
      <c r="G385" s="1">
        <v>2</v>
      </c>
      <c r="H385" s="1">
        <v>4</v>
      </c>
      <c r="I385" s="1">
        <v>5</v>
      </c>
      <c r="J385" s="1" t="s">
        <v>20</v>
      </c>
      <c r="K385" s="1">
        <v>12</v>
      </c>
      <c r="L385" s="1" t="s">
        <v>19</v>
      </c>
      <c r="M385" s="1" t="s">
        <v>21</v>
      </c>
      <c r="N385" s="1">
        <v>54</v>
      </c>
      <c r="O385" s="3" t="s">
        <v>42</v>
      </c>
    </row>
    <row r="386" spans="1:15" x14ac:dyDescent="0.25">
      <c r="A386" s="2" t="s">
        <v>423</v>
      </c>
      <c r="B386" s="1">
        <v>35</v>
      </c>
      <c r="C386" s="1" t="s">
        <v>28</v>
      </c>
      <c r="D386" s="1" t="s">
        <v>40</v>
      </c>
      <c r="E386" s="1" t="s">
        <v>33</v>
      </c>
      <c r="F386" s="1">
        <v>99962</v>
      </c>
      <c r="G386" s="1">
        <v>2</v>
      </c>
      <c r="H386" s="1">
        <v>5</v>
      </c>
      <c r="I386" s="1">
        <v>5</v>
      </c>
      <c r="J386" s="1" t="s">
        <v>20</v>
      </c>
      <c r="K386" s="1">
        <v>9</v>
      </c>
      <c r="L386" s="1" t="s">
        <v>20</v>
      </c>
      <c r="M386" s="1" t="s">
        <v>30</v>
      </c>
      <c r="N386" s="1">
        <v>29</v>
      </c>
      <c r="O386" s="3" t="s">
        <v>22</v>
      </c>
    </row>
    <row r="387" spans="1:15" x14ac:dyDescent="0.25">
      <c r="A387" s="2" t="s">
        <v>424</v>
      </c>
      <c r="B387" s="1">
        <v>32</v>
      </c>
      <c r="C387" s="1" t="s">
        <v>16</v>
      </c>
      <c r="D387" s="1" t="s">
        <v>29</v>
      </c>
      <c r="E387" s="1" t="s">
        <v>35</v>
      </c>
      <c r="F387" s="1">
        <v>101478</v>
      </c>
      <c r="G387" s="1">
        <v>4</v>
      </c>
      <c r="H387" s="1">
        <v>5</v>
      </c>
      <c r="I387" s="1">
        <v>4</v>
      </c>
      <c r="J387" s="1" t="s">
        <v>20</v>
      </c>
      <c r="K387" s="1">
        <v>19</v>
      </c>
      <c r="L387" s="1" t="s">
        <v>20</v>
      </c>
      <c r="M387" s="1" t="s">
        <v>21</v>
      </c>
      <c r="N387" s="1">
        <v>46</v>
      </c>
      <c r="O387" s="3" t="s">
        <v>22</v>
      </c>
    </row>
    <row r="388" spans="1:15" x14ac:dyDescent="0.25">
      <c r="A388" s="2" t="s">
        <v>425</v>
      </c>
      <c r="B388" s="1">
        <v>30</v>
      </c>
      <c r="C388" s="1" t="s">
        <v>16</v>
      </c>
      <c r="D388" s="1" t="s">
        <v>24</v>
      </c>
      <c r="E388" s="1" t="s">
        <v>35</v>
      </c>
      <c r="F388" s="1">
        <v>42371</v>
      </c>
      <c r="G388" s="1">
        <v>1</v>
      </c>
      <c r="H388" s="1">
        <v>3</v>
      </c>
      <c r="I388" s="1">
        <v>3</v>
      </c>
      <c r="J388" s="1" t="s">
        <v>19</v>
      </c>
      <c r="K388" s="1">
        <v>14</v>
      </c>
      <c r="L388" s="1" t="s">
        <v>19</v>
      </c>
      <c r="M388" s="1" t="s">
        <v>21</v>
      </c>
      <c r="N388" s="1">
        <v>16</v>
      </c>
      <c r="O388" s="3" t="s">
        <v>44</v>
      </c>
    </row>
    <row r="389" spans="1:15" x14ac:dyDescent="0.25">
      <c r="A389" s="2" t="s">
        <v>426</v>
      </c>
      <c r="B389" s="1">
        <v>21</v>
      </c>
      <c r="C389" s="1" t="s">
        <v>28</v>
      </c>
      <c r="D389" s="1" t="s">
        <v>51</v>
      </c>
      <c r="E389" s="1" t="s">
        <v>18</v>
      </c>
      <c r="F389" s="1">
        <v>73082</v>
      </c>
      <c r="G389" s="1">
        <v>3</v>
      </c>
      <c r="H389" s="1">
        <v>4</v>
      </c>
      <c r="I389" s="1">
        <v>3</v>
      </c>
      <c r="J389" s="1" t="s">
        <v>20</v>
      </c>
      <c r="K389" s="1">
        <v>1</v>
      </c>
      <c r="L389" s="1" t="s">
        <v>20</v>
      </c>
      <c r="M389" s="1" t="s">
        <v>21</v>
      </c>
      <c r="N389" s="1">
        <v>23</v>
      </c>
      <c r="O389" s="3" t="s">
        <v>22</v>
      </c>
    </row>
    <row r="390" spans="1:15" x14ac:dyDescent="0.25">
      <c r="A390" s="2" t="s">
        <v>427</v>
      </c>
      <c r="B390" s="1">
        <v>38</v>
      </c>
      <c r="C390" s="1" t="s">
        <v>28</v>
      </c>
      <c r="D390" s="1" t="s">
        <v>40</v>
      </c>
      <c r="E390" s="1" t="s">
        <v>25</v>
      </c>
      <c r="F390" s="1">
        <v>79623</v>
      </c>
      <c r="G390" s="1">
        <v>2</v>
      </c>
      <c r="H390" s="1">
        <v>2</v>
      </c>
      <c r="I390" s="1">
        <v>3</v>
      </c>
      <c r="J390" s="1" t="s">
        <v>20</v>
      </c>
      <c r="K390" s="1">
        <v>0</v>
      </c>
      <c r="L390" s="1" t="s">
        <v>19</v>
      </c>
      <c r="M390" s="1" t="s">
        <v>26</v>
      </c>
      <c r="N390" s="1">
        <v>36</v>
      </c>
      <c r="O390" s="3" t="s">
        <v>42</v>
      </c>
    </row>
    <row r="391" spans="1:15" x14ac:dyDescent="0.25">
      <c r="A391" s="2" t="s">
        <v>428</v>
      </c>
      <c r="B391" s="1">
        <v>49</v>
      </c>
      <c r="C391" s="1" t="s">
        <v>16</v>
      </c>
      <c r="D391" s="1" t="s">
        <v>17</v>
      </c>
      <c r="E391" s="1" t="s">
        <v>35</v>
      </c>
      <c r="F391" s="1">
        <v>44106</v>
      </c>
      <c r="G391" s="1"/>
      <c r="H391" s="1">
        <v>1</v>
      </c>
      <c r="I391" s="1">
        <v>5</v>
      </c>
      <c r="J391" s="1" t="s">
        <v>19</v>
      </c>
      <c r="K391" s="1">
        <v>15</v>
      </c>
      <c r="L391" s="1" t="s">
        <v>20</v>
      </c>
      <c r="M391" s="1" t="s">
        <v>26</v>
      </c>
      <c r="N391" s="1">
        <v>44</v>
      </c>
      <c r="O391" s="3" t="s">
        <v>36</v>
      </c>
    </row>
    <row r="392" spans="1:15" x14ac:dyDescent="0.25">
      <c r="A392" s="2" t="s">
        <v>429</v>
      </c>
      <c r="B392" s="1">
        <v>31</v>
      </c>
      <c r="C392" s="1" t="s">
        <v>16</v>
      </c>
      <c r="D392" s="1" t="s">
        <v>17</v>
      </c>
      <c r="E392" s="1" t="s">
        <v>25</v>
      </c>
      <c r="F392" s="1">
        <v>86278</v>
      </c>
      <c r="G392" s="1">
        <v>1</v>
      </c>
      <c r="H392" s="1">
        <v>3</v>
      </c>
      <c r="I392" s="1">
        <v>4</v>
      </c>
      <c r="J392" s="1" t="s">
        <v>20</v>
      </c>
      <c r="K392" s="1">
        <v>6</v>
      </c>
      <c r="L392" s="1" t="s">
        <v>20</v>
      </c>
      <c r="M392" s="1" t="s">
        <v>21</v>
      </c>
      <c r="N392" s="1">
        <v>32</v>
      </c>
      <c r="O392" s="3" t="s">
        <v>22</v>
      </c>
    </row>
    <row r="393" spans="1:15" x14ac:dyDescent="0.25">
      <c r="A393" s="2" t="s">
        <v>430</v>
      </c>
      <c r="B393" s="1">
        <v>36</v>
      </c>
      <c r="C393" s="1" t="s">
        <v>28</v>
      </c>
      <c r="D393" s="1" t="s">
        <v>29</v>
      </c>
      <c r="E393" s="1" t="s">
        <v>35</v>
      </c>
      <c r="F393" s="1">
        <v>39936</v>
      </c>
      <c r="G393" s="1">
        <v>3</v>
      </c>
      <c r="H393" s="1">
        <v>5</v>
      </c>
      <c r="I393" s="1">
        <v>1</v>
      </c>
      <c r="J393" s="1" t="s">
        <v>20</v>
      </c>
      <c r="K393" s="1">
        <v>7</v>
      </c>
      <c r="L393" s="1" t="s">
        <v>19</v>
      </c>
      <c r="M393" s="1" t="s">
        <v>21</v>
      </c>
      <c r="N393" s="1">
        <v>79</v>
      </c>
      <c r="O393" s="3" t="s">
        <v>42</v>
      </c>
    </row>
    <row r="394" spans="1:15" x14ac:dyDescent="0.25">
      <c r="A394" s="2" t="s">
        <v>431</v>
      </c>
      <c r="B394" s="1">
        <v>30</v>
      </c>
      <c r="C394" s="1" t="s">
        <v>28</v>
      </c>
      <c r="D394" s="1" t="s">
        <v>40</v>
      </c>
      <c r="E394" s="1" t="s">
        <v>41</v>
      </c>
      <c r="F394" s="1">
        <v>38669</v>
      </c>
      <c r="G394" s="1">
        <v>4</v>
      </c>
      <c r="H394" s="1">
        <v>1</v>
      </c>
      <c r="I394" s="1">
        <v>5</v>
      </c>
      <c r="J394" s="1" t="s">
        <v>20</v>
      </c>
      <c r="K394" s="1">
        <v>20</v>
      </c>
      <c r="L394" s="1" t="s">
        <v>19</v>
      </c>
      <c r="M394" s="1" t="s">
        <v>21</v>
      </c>
      <c r="N394" s="1">
        <v>50</v>
      </c>
      <c r="O394" s="3" t="s">
        <v>44</v>
      </c>
    </row>
    <row r="395" spans="1:15" x14ac:dyDescent="0.25">
      <c r="A395" s="2" t="s">
        <v>432</v>
      </c>
      <c r="B395" s="1">
        <v>55</v>
      </c>
      <c r="C395" s="1" t="s">
        <v>16</v>
      </c>
      <c r="D395" s="1" t="s">
        <v>51</v>
      </c>
      <c r="E395" s="1" t="s">
        <v>33</v>
      </c>
      <c r="F395" s="1">
        <v>48497</v>
      </c>
      <c r="G395" s="1">
        <v>3</v>
      </c>
      <c r="H395" s="1"/>
      <c r="I395" s="1">
        <v>3</v>
      </c>
      <c r="J395" s="1" t="s">
        <v>20</v>
      </c>
      <c r="K395" s="1">
        <v>6</v>
      </c>
      <c r="L395" s="1" t="s">
        <v>19</v>
      </c>
      <c r="M395" s="1" t="s">
        <v>26</v>
      </c>
      <c r="N395" s="1">
        <v>53</v>
      </c>
      <c r="O395" s="3" t="s">
        <v>36</v>
      </c>
    </row>
    <row r="396" spans="1:15" x14ac:dyDescent="0.25">
      <c r="A396" s="2" t="s">
        <v>433</v>
      </c>
      <c r="B396" s="1">
        <v>29</v>
      </c>
      <c r="C396" s="1" t="s">
        <v>28</v>
      </c>
      <c r="D396" s="1" t="s">
        <v>40</v>
      </c>
      <c r="E396" s="1" t="s">
        <v>33</v>
      </c>
      <c r="F396" s="1">
        <v>110618</v>
      </c>
      <c r="G396" s="1">
        <v>4</v>
      </c>
      <c r="H396" s="1">
        <v>5</v>
      </c>
      <c r="I396" s="1">
        <v>3</v>
      </c>
      <c r="J396" s="1" t="s">
        <v>20</v>
      </c>
      <c r="K396" s="1">
        <v>6</v>
      </c>
      <c r="L396" s="1" t="s">
        <v>19</v>
      </c>
      <c r="M396" s="1" t="s">
        <v>26</v>
      </c>
      <c r="N396" s="1">
        <v>49</v>
      </c>
      <c r="O396" s="3" t="s">
        <v>36</v>
      </c>
    </row>
    <row r="397" spans="1:15" x14ac:dyDescent="0.25">
      <c r="A397" s="2" t="s">
        <v>434</v>
      </c>
      <c r="B397" s="1">
        <v>50</v>
      </c>
      <c r="C397" s="1" t="s">
        <v>28</v>
      </c>
      <c r="D397" s="1" t="s">
        <v>24</v>
      </c>
      <c r="E397" s="1" t="s">
        <v>25</v>
      </c>
      <c r="F397" s="1">
        <v>39016</v>
      </c>
      <c r="G397" s="1">
        <v>1</v>
      </c>
      <c r="H397" s="1">
        <v>5</v>
      </c>
      <c r="I397" s="1">
        <v>2</v>
      </c>
      <c r="J397" s="1" t="s">
        <v>20</v>
      </c>
      <c r="K397" s="1">
        <v>9</v>
      </c>
      <c r="L397" s="1" t="s">
        <v>20</v>
      </c>
      <c r="M397" s="1" t="s">
        <v>26</v>
      </c>
      <c r="N397" s="1">
        <v>51</v>
      </c>
      <c r="O397" s="3" t="s">
        <v>42</v>
      </c>
    </row>
    <row r="398" spans="1:15" x14ac:dyDescent="0.25">
      <c r="A398" s="2" t="s">
        <v>435</v>
      </c>
      <c r="B398" s="1">
        <v>21</v>
      </c>
      <c r="C398" s="1" t="s">
        <v>28</v>
      </c>
      <c r="D398" s="1" t="s">
        <v>17</v>
      </c>
      <c r="E398" s="1" t="s">
        <v>41</v>
      </c>
      <c r="F398" s="1">
        <v>20453</v>
      </c>
      <c r="G398" s="1">
        <v>5</v>
      </c>
      <c r="H398" s="1">
        <v>3</v>
      </c>
      <c r="I398" s="1">
        <v>5</v>
      </c>
      <c r="J398" s="1" t="s">
        <v>19</v>
      </c>
      <c r="K398" s="1">
        <v>10</v>
      </c>
      <c r="L398" s="1" t="s">
        <v>19</v>
      </c>
      <c r="M398" s="1" t="s">
        <v>26</v>
      </c>
      <c r="N398" s="1">
        <v>73</v>
      </c>
      <c r="O398" s="3" t="s">
        <v>42</v>
      </c>
    </row>
    <row r="399" spans="1:15" x14ac:dyDescent="0.25">
      <c r="A399" s="2" t="s">
        <v>436</v>
      </c>
      <c r="B399" s="1">
        <v>33</v>
      </c>
      <c r="C399" s="1" t="s">
        <v>28</v>
      </c>
      <c r="D399" s="1" t="s">
        <v>24</v>
      </c>
      <c r="E399" s="1" t="s">
        <v>41</v>
      </c>
      <c r="F399" s="1">
        <v>98352</v>
      </c>
      <c r="G399" s="1">
        <v>3</v>
      </c>
      <c r="H399" s="1">
        <v>3</v>
      </c>
      <c r="I399" s="1">
        <v>4</v>
      </c>
      <c r="J399" s="1" t="s">
        <v>20</v>
      </c>
      <c r="K399" s="1">
        <v>3</v>
      </c>
      <c r="L399" s="1" t="s">
        <v>19</v>
      </c>
      <c r="M399" s="1" t="s">
        <v>26</v>
      </c>
      <c r="N399" s="1">
        <v>13</v>
      </c>
      <c r="O399" s="3" t="s">
        <v>22</v>
      </c>
    </row>
    <row r="400" spans="1:15" x14ac:dyDescent="0.25">
      <c r="A400" s="2" t="s">
        <v>437</v>
      </c>
      <c r="B400" s="1">
        <v>29</v>
      </c>
      <c r="C400" s="1" t="s">
        <v>16</v>
      </c>
      <c r="D400" s="1" t="s">
        <v>40</v>
      </c>
      <c r="E400" s="1" t="s">
        <v>41</v>
      </c>
      <c r="F400" s="1">
        <v>32031</v>
      </c>
      <c r="G400" s="1">
        <v>4</v>
      </c>
      <c r="H400" s="1">
        <v>2</v>
      </c>
      <c r="I400" s="1">
        <v>1</v>
      </c>
      <c r="J400" s="1" t="s">
        <v>19</v>
      </c>
      <c r="K400" s="1">
        <v>18</v>
      </c>
      <c r="L400" s="1" t="s">
        <v>20</v>
      </c>
      <c r="M400" s="1" t="s">
        <v>26</v>
      </c>
      <c r="N400" s="1">
        <v>67</v>
      </c>
      <c r="O400" s="3" t="s">
        <v>31</v>
      </c>
    </row>
    <row r="401" spans="1:15" x14ac:dyDescent="0.25">
      <c r="A401" s="2" t="s">
        <v>438</v>
      </c>
      <c r="B401" s="1">
        <v>58</v>
      </c>
      <c r="C401" s="1" t="s">
        <v>28</v>
      </c>
      <c r="D401" s="1" t="s">
        <v>40</v>
      </c>
      <c r="E401" s="1" t="s">
        <v>18</v>
      </c>
      <c r="F401" s="1">
        <v>46930</v>
      </c>
      <c r="G401" s="1">
        <v>5</v>
      </c>
      <c r="H401" s="1">
        <v>1</v>
      </c>
      <c r="I401" s="1">
        <v>1</v>
      </c>
      <c r="J401" s="1" t="s">
        <v>19</v>
      </c>
      <c r="K401" s="1">
        <v>20</v>
      </c>
      <c r="L401" s="1" t="s">
        <v>20</v>
      </c>
      <c r="M401" s="1" t="s">
        <v>21</v>
      </c>
      <c r="N401" s="1">
        <v>64</v>
      </c>
      <c r="O401" s="3" t="s">
        <v>22</v>
      </c>
    </row>
    <row r="402" spans="1:15" x14ac:dyDescent="0.25">
      <c r="A402" s="2" t="s">
        <v>439</v>
      </c>
      <c r="B402" s="1">
        <v>44</v>
      </c>
      <c r="C402" s="1" t="s">
        <v>28</v>
      </c>
      <c r="D402" s="1" t="s">
        <v>29</v>
      </c>
      <c r="E402" s="1" t="s">
        <v>38</v>
      </c>
      <c r="F402" s="1">
        <v>25641</v>
      </c>
      <c r="G402" s="1">
        <v>5</v>
      </c>
      <c r="H402" s="1">
        <v>3</v>
      </c>
      <c r="I402" s="1">
        <v>5</v>
      </c>
      <c r="J402" s="1" t="s">
        <v>19</v>
      </c>
      <c r="K402" s="1">
        <v>2</v>
      </c>
      <c r="L402" s="1" t="s">
        <v>20</v>
      </c>
      <c r="M402" s="1" t="s">
        <v>21</v>
      </c>
      <c r="N402" s="1">
        <v>32</v>
      </c>
      <c r="O402" s="3" t="s">
        <v>31</v>
      </c>
    </row>
    <row r="403" spans="1:15" x14ac:dyDescent="0.25">
      <c r="A403" s="2" t="s">
        <v>440</v>
      </c>
      <c r="B403" s="1">
        <v>27</v>
      </c>
      <c r="C403" s="1" t="s">
        <v>16</v>
      </c>
      <c r="D403" s="1" t="s">
        <v>17</v>
      </c>
      <c r="E403" s="1" t="s">
        <v>41</v>
      </c>
      <c r="F403" s="1">
        <v>87685</v>
      </c>
      <c r="G403" s="1">
        <v>4</v>
      </c>
      <c r="H403" s="1">
        <v>2</v>
      </c>
      <c r="I403" s="1">
        <v>2</v>
      </c>
      <c r="J403" s="1" t="s">
        <v>19</v>
      </c>
      <c r="K403" s="1">
        <v>18</v>
      </c>
      <c r="L403" s="1" t="s">
        <v>19</v>
      </c>
      <c r="M403" s="1" t="s">
        <v>26</v>
      </c>
      <c r="N403" s="1">
        <v>76</v>
      </c>
      <c r="O403" s="3" t="s">
        <v>42</v>
      </c>
    </row>
    <row r="404" spans="1:15" x14ac:dyDescent="0.25">
      <c r="A404" s="2" t="s">
        <v>441</v>
      </c>
      <c r="B404" s="1">
        <v>27</v>
      </c>
      <c r="C404" s="1" t="s">
        <v>28</v>
      </c>
      <c r="D404" s="1" t="s">
        <v>17</v>
      </c>
      <c r="E404" s="1" t="s">
        <v>33</v>
      </c>
      <c r="F404" s="1">
        <v>110084</v>
      </c>
      <c r="G404" s="1">
        <v>4</v>
      </c>
      <c r="H404" s="1">
        <v>1</v>
      </c>
      <c r="I404" s="1">
        <v>2</v>
      </c>
      <c r="J404" s="1" t="s">
        <v>19</v>
      </c>
      <c r="K404" s="1">
        <v>17</v>
      </c>
      <c r="L404" s="1" t="s">
        <v>20</v>
      </c>
      <c r="M404" s="1" t="s">
        <v>26</v>
      </c>
      <c r="N404" s="1">
        <v>48</v>
      </c>
      <c r="O404" s="3" t="s">
        <v>44</v>
      </c>
    </row>
    <row r="405" spans="1:15" x14ac:dyDescent="0.25">
      <c r="A405" s="2" t="s">
        <v>442</v>
      </c>
      <c r="B405" s="1">
        <v>55</v>
      </c>
      <c r="C405" s="1" t="s">
        <v>28</v>
      </c>
      <c r="D405" s="1" t="s">
        <v>29</v>
      </c>
      <c r="E405" s="1" t="s">
        <v>18</v>
      </c>
      <c r="F405" s="1">
        <v>90100</v>
      </c>
      <c r="G405" s="1">
        <v>3</v>
      </c>
      <c r="H405" s="1">
        <v>3</v>
      </c>
      <c r="I405" s="1">
        <v>4</v>
      </c>
      <c r="J405" s="1" t="s">
        <v>20</v>
      </c>
      <c r="K405" s="1">
        <v>10</v>
      </c>
      <c r="L405" s="1" t="s">
        <v>19</v>
      </c>
      <c r="M405" s="1" t="s">
        <v>26</v>
      </c>
      <c r="N405" s="1">
        <v>74</v>
      </c>
      <c r="O405" s="3" t="s">
        <v>44</v>
      </c>
    </row>
    <row r="406" spans="1:15" x14ac:dyDescent="0.25">
      <c r="A406" s="2" t="s">
        <v>443</v>
      </c>
      <c r="B406" s="1"/>
      <c r="C406" s="1" t="s">
        <v>28</v>
      </c>
      <c r="D406" s="1" t="s">
        <v>29</v>
      </c>
      <c r="E406" s="1" t="s">
        <v>33</v>
      </c>
      <c r="F406" s="1">
        <v>76654</v>
      </c>
      <c r="G406" s="1">
        <v>4</v>
      </c>
      <c r="H406" s="1">
        <v>1</v>
      </c>
      <c r="I406" s="1">
        <v>1</v>
      </c>
      <c r="J406" s="1" t="s">
        <v>20</v>
      </c>
      <c r="K406" s="1">
        <v>19</v>
      </c>
      <c r="L406" s="1" t="s">
        <v>19</v>
      </c>
      <c r="M406" s="1" t="s">
        <v>26</v>
      </c>
      <c r="N406" s="1">
        <v>22</v>
      </c>
      <c r="O406" s="3" t="s">
        <v>36</v>
      </c>
    </row>
    <row r="407" spans="1:15" x14ac:dyDescent="0.25">
      <c r="A407" s="2" t="s">
        <v>444</v>
      </c>
      <c r="B407" s="1">
        <v>21</v>
      </c>
      <c r="C407" s="1" t="s">
        <v>28</v>
      </c>
      <c r="D407" s="1" t="s">
        <v>51</v>
      </c>
      <c r="E407" s="1" t="s">
        <v>41</v>
      </c>
      <c r="F407" s="1">
        <v>59275</v>
      </c>
      <c r="G407" s="1">
        <v>1</v>
      </c>
      <c r="H407" s="1">
        <v>3</v>
      </c>
      <c r="I407" s="1">
        <v>5</v>
      </c>
      <c r="J407" s="1" t="s">
        <v>19</v>
      </c>
      <c r="K407" s="1">
        <v>3</v>
      </c>
      <c r="L407" s="1" t="s">
        <v>19</v>
      </c>
      <c r="M407" s="1" t="s">
        <v>30</v>
      </c>
      <c r="N407" s="1">
        <v>50</v>
      </c>
      <c r="O407" s="3" t="s">
        <v>44</v>
      </c>
    </row>
    <row r="408" spans="1:15" x14ac:dyDescent="0.25">
      <c r="A408" s="2" t="s">
        <v>445</v>
      </c>
      <c r="B408" s="1"/>
      <c r="C408" s="1" t="s">
        <v>28</v>
      </c>
      <c r="D408" s="1" t="s">
        <v>29</v>
      </c>
      <c r="E408" s="1" t="s">
        <v>25</v>
      </c>
      <c r="F408" s="1">
        <v>50749</v>
      </c>
      <c r="G408" s="1">
        <v>2</v>
      </c>
      <c r="H408" s="1">
        <v>3</v>
      </c>
      <c r="I408" s="1">
        <v>3</v>
      </c>
      <c r="J408" s="1" t="s">
        <v>19</v>
      </c>
      <c r="K408" s="1">
        <v>18</v>
      </c>
      <c r="L408" s="1" t="s">
        <v>20</v>
      </c>
      <c r="M408" s="1" t="s">
        <v>26</v>
      </c>
      <c r="N408" s="1">
        <v>32</v>
      </c>
      <c r="O408" s="3" t="s">
        <v>22</v>
      </c>
    </row>
    <row r="409" spans="1:15" x14ac:dyDescent="0.25">
      <c r="A409" s="2" t="s">
        <v>446</v>
      </c>
      <c r="B409" s="1">
        <v>41</v>
      </c>
      <c r="C409" s="1" t="s">
        <v>28</v>
      </c>
      <c r="D409" s="1" t="s">
        <v>51</v>
      </c>
      <c r="E409" s="1" t="s">
        <v>33</v>
      </c>
      <c r="F409" s="1">
        <v>108386</v>
      </c>
      <c r="G409" s="1">
        <v>5</v>
      </c>
      <c r="H409" s="1">
        <v>1</v>
      </c>
      <c r="I409" s="1">
        <v>5</v>
      </c>
      <c r="J409" s="1" t="s">
        <v>20</v>
      </c>
      <c r="K409" s="1">
        <v>1</v>
      </c>
      <c r="L409" s="1" t="s">
        <v>20</v>
      </c>
      <c r="M409" s="1" t="s">
        <v>21</v>
      </c>
      <c r="N409" s="1">
        <v>12</v>
      </c>
      <c r="O409" s="3" t="s">
        <v>36</v>
      </c>
    </row>
    <row r="410" spans="1:15" x14ac:dyDescent="0.25">
      <c r="A410" s="2" t="s">
        <v>447</v>
      </c>
      <c r="B410" s="1">
        <v>43</v>
      </c>
      <c r="C410" s="1" t="s">
        <v>28</v>
      </c>
      <c r="D410" s="1" t="s">
        <v>49</v>
      </c>
      <c r="E410" s="1" t="s">
        <v>35</v>
      </c>
      <c r="F410" s="1">
        <v>118976</v>
      </c>
      <c r="G410" s="1">
        <v>2</v>
      </c>
      <c r="H410" s="1"/>
      <c r="I410" s="1">
        <v>1</v>
      </c>
      <c r="J410" s="1" t="s">
        <v>20</v>
      </c>
      <c r="K410" s="1">
        <v>1</v>
      </c>
      <c r="L410" s="1" t="s">
        <v>20</v>
      </c>
      <c r="M410" s="1" t="s">
        <v>26</v>
      </c>
      <c r="N410" s="1">
        <v>10</v>
      </c>
      <c r="O410" s="3" t="s">
        <v>36</v>
      </c>
    </row>
    <row r="411" spans="1:15" x14ac:dyDescent="0.25">
      <c r="A411" s="2" t="s">
        <v>448</v>
      </c>
      <c r="B411" s="1">
        <v>55</v>
      </c>
      <c r="C411" s="1" t="s">
        <v>16</v>
      </c>
      <c r="D411" s="1" t="s">
        <v>29</v>
      </c>
      <c r="E411" s="1" t="s">
        <v>25</v>
      </c>
      <c r="F411" s="1">
        <v>109457</v>
      </c>
      <c r="G411" s="1">
        <v>2</v>
      </c>
      <c r="H411" s="1">
        <v>2</v>
      </c>
      <c r="I411" s="1">
        <v>1</v>
      </c>
      <c r="J411" s="1" t="s">
        <v>20</v>
      </c>
      <c r="K411" s="1">
        <v>14</v>
      </c>
      <c r="L411" s="1" t="s">
        <v>19</v>
      </c>
      <c r="M411" s="1" t="s">
        <v>21</v>
      </c>
      <c r="N411" s="1">
        <v>60</v>
      </c>
      <c r="O411" s="3" t="s">
        <v>36</v>
      </c>
    </row>
    <row r="412" spans="1:15" x14ac:dyDescent="0.25">
      <c r="A412" s="2" t="s">
        <v>449</v>
      </c>
      <c r="B412" s="1">
        <v>46</v>
      </c>
      <c r="C412" s="1" t="s">
        <v>16</v>
      </c>
      <c r="D412" s="1" t="s">
        <v>51</v>
      </c>
      <c r="E412" s="1" t="s">
        <v>18</v>
      </c>
      <c r="F412" s="1">
        <v>28819</v>
      </c>
      <c r="G412" s="1">
        <v>4</v>
      </c>
      <c r="H412" s="1">
        <v>5</v>
      </c>
      <c r="I412" s="1">
        <v>1</v>
      </c>
      <c r="J412" s="1" t="s">
        <v>20</v>
      </c>
      <c r="K412" s="1">
        <v>8</v>
      </c>
      <c r="L412" s="1" t="s">
        <v>19</v>
      </c>
      <c r="M412" s="1" t="s">
        <v>30</v>
      </c>
      <c r="N412" s="1">
        <v>69</v>
      </c>
      <c r="O412" s="3" t="s">
        <v>42</v>
      </c>
    </row>
    <row r="413" spans="1:15" x14ac:dyDescent="0.25">
      <c r="A413" s="2" t="s">
        <v>450</v>
      </c>
      <c r="B413" s="1">
        <v>29</v>
      </c>
      <c r="C413" s="1" t="s">
        <v>16</v>
      </c>
      <c r="D413" s="1" t="s">
        <v>49</v>
      </c>
      <c r="E413" s="1" t="s">
        <v>25</v>
      </c>
      <c r="F413" s="1">
        <v>43966</v>
      </c>
      <c r="G413" s="1">
        <v>4</v>
      </c>
      <c r="H413" s="1">
        <v>4</v>
      </c>
      <c r="I413" s="1">
        <v>5</v>
      </c>
      <c r="J413" s="1" t="s">
        <v>19</v>
      </c>
      <c r="K413" s="1">
        <v>17</v>
      </c>
      <c r="L413" s="1" t="s">
        <v>19</v>
      </c>
      <c r="M413" s="1" t="s">
        <v>21</v>
      </c>
      <c r="N413" s="1">
        <v>14</v>
      </c>
      <c r="O413" s="3" t="s">
        <v>36</v>
      </c>
    </row>
    <row r="414" spans="1:15" x14ac:dyDescent="0.25">
      <c r="A414" s="2" t="s">
        <v>451</v>
      </c>
      <c r="B414" s="1">
        <v>48</v>
      </c>
      <c r="C414" s="1" t="s">
        <v>28</v>
      </c>
      <c r="D414" s="1" t="s">
        <v>17</v>
      </c>
      <c r="E414" s="1" t="s">
        <v>25</v>
      </c>
      <c r="F414" s="1">
        <v>29743</v>
      </c>
      <c r="G414" s="1">
        <v>1</v>
      </c>
      <c r="H414" s="1">
        <v>4</v>
      </c>
      <c r="I414" s="1">
        <v>4</v>
      </c>
      <c r="J414" s="1" t="s">
        <v>20</v>
      </c>
      <c r="K414" s="1">
        <v>11</v>
      </c>
      <c r="L414" s="1" t="s">
        <v>19</v>
      </c>
      <c r="M414" s="1" t="s">
        <v>30</v>
      </c>
      <c r="N414" s="1">
        <v>49</v>
      </c>
      <c r="O414" s="3" t="s">
        <v>31</v>
      </c>
    </row>
    <row r="415" spans="1:15" x14ac:dyDescent="0.25">
      <c r="A415" s="2" t="s">
        <v>452</v>
      </c>
      <c r="B415" s="1">
        <v>22</v>
      </c>
      <c r="C415" s="1" t="s">
        <v>28</v>
      </c>
      <c r="D415" s="1" t="s">
        <v>51</v>
      </c>
      <c r="E415" s="1" t="s">
        <v>18</v>
      </c>
      <c r="F415" s="1">
        <v>98769</v>
      </c>
      <c r="G415" s="1">
        <v>4</v>
      </c>
      <c r="H415" s="1">
        <v>5</v>
      </c>
      <c r="I415" s="1">
        <v>2</v>
      </c>
      <c r="J415" s="1" t="s">
        <v>20</v>
      </c>
      <c r="K415" s="1">
        <v>1</v>
      </c>
      <c r="L415" s="1" t="s">
        <v>19</v>
      </c>
      <c r="M415" s="1" t="s">
        <v>21</v>
      </c>
      <c r="N415" s="1">
        <v>52</v>
      </c>
      <c r="O415" s="3" t="s">
        <v>44</v>
      </c>
    </row>
    <row r="416" spans="1:15" x14ac:dyDescent="0.25">
      <c r="A416" s="2" t="s">
        <v>453</v>
      </c>
      <c r="B416" s="1">
        <v>26</v>
      </c>
      <c r="C416" s="1" t="s">
        <v>16</v>
      </c>
      <c r="D416" s="1" t="s">
        <v>17</v>
      </c>
      <c r="E416" s="1" t="s">
        <v>35</v>
      </c>
      <c r="F416" s="1">
        <v>49856</v>
      </c>
      <c r="G416" s="1">
        <v>5</v>
      </c>
      <c r="H416" s="1"/>
      <c r="I416" s="1">
        <v>3</v>
      </c>
      <c r="J416" s="1" t="s">
        <v>19</v>
      </c>
      <c r="K416" s="1">
        <v>10</v>
      </c>
      <c r="L416" s="1" t="s">
        <v>19</v>
      </c>
      <c r="M416" s="1" t="s">
        <v>30</v>
      </c>
      <c r="N416" s="1">
        <v>62</v>
      </c>
      <c r="O416" s="3" t="s">
        <v>42</v>
      </c>
    </row>
    <row r="417" spans="1:15" x14ac:dyDescent="0.25">
      <c r="A417" s="2" t="s">
        <v>454</v>
      </c>
      <c r="B417" s="1">
        <v>22</v>
      </c>
      <c r="C417" s="1" t="s">
        <v>28</v>
      </c>
      <c r="D417" s="1" t="s">
        <v>51</v>
      </c>
      <c r="E417" s="1" t="s">
        <v>38</v>
      </c>
      <c r="F417" s="1">
        <v>88517</v>
      </c>
      <c r="G417" s="1">
        <v>2</v>
      </c>
      <c r="H417" s="1">
        <v>2</v>
      </c>
      <c r="I417" s="1">
        <v>5</v>
      </c>
      <c r="J417" s="1" t="s">
        <v>20</v>
      </c>
      <c r="K417" s="1">
        <v>17</v>
      </c>
      <c r="L417" s="1" t="s">
        <v>20</v>
      </c>
      <c r="M417" s="1" t="s">
        <v>26</v>
      </c>
      <c r="N417" s="1">
        <v>23</v>
      </c>
      <c r="O417" s="3" t="s">
        <v>22</v>
      </c>
    </row>
    <row r="418" spans="1:15" x14ac:dyDescent="0.25">
      <c r="A418" s="2" t="s">
        <v>455</v>
      </c>
      <c r="B418" s="1">
        <v>45</v>
      </c>
      <c r="C418" s="1" t="s">
        <v>16</v>
      </c>
      <c r="D418" s="1" t="s">
        <v>29</v>
      </c>
      <c r="E418" s="1" t="s">
        <v>41</v>
      </c>
      <c r="F418" s="1">
        <v>25878</v>
      </c>
      <c r="G418" s="1">
        <v>3</v>
      </c>
      <c r="H418" s="1">
        <v>2</v>
      </c>
      <c r="I418" s="1">
        <v>5</v>
      </c>
      <c r="J418" s="1" t="s">
        <v>20</v>
      </c>
      <c r="K418" s="1">
        <v>1</v>
      </c>
      <c r="L418" s="1" t="s">
        <v>20</v>
      </c>
      <c r="M418" s="1" t="s">
        <v>26</v>
      </c>
      <c r="N418" s="1">
        <v>6</v>
      </c>
      <c r="O418" s="3" t="s">
        <v>22</v>
      </c>
    </row>
    <row r="419" spans="1:15" x14ac:dyDescent="0.25">
      <c r="A419" s="2" t="s">
        <v>456</v>
      </c>
      <c r="B419" s="1">
        <v>45</v>
      </c>
      <c r="C419" s="1" t="s">
        <v>28</v>
      </c>
      <c r="D419" s="1" t="s">
        <v>17</v>
      </c>
      <c r="E419" s="1" t="s">
        <v>38</v>
      </c>
      <c r="F419" s="1">
        <v>65214</v>
      </c>
      <c r="G419" s="1">
        <v>1</v>
      </c>
      <c r="H419" s="1">
        <v>1</v>
      </c>
      <c r="I419" s="1">
        <v>3</v>
      </c>
      <c r="J419" s="1" t="s">
        <v>20</v>
      </c>
      <c r="K419" s="1">
        <v>7</v>
      </c>
      <c r="L419" s="1" t="s">
        <v>20</v>
      </c>
      <c r="M419" s="1" t="s">
        <v>26</v>
      </c>
      <c r="N419" s="1">
        <v>17</v>
      </c>
      <c r="O419" s="3" t="s">
        <v>36</v>
      </c>
    </row>
    <row r="420" spans="1:15" x14ac:dyDescent="0.25">
      <c r="A420" s="2" t="s">
        <v>457</v>
      </c>
      <c r="B420" s="1">
        <v>52</v>
      </c>
      <c r="C420" s="1" t="s">
        <v>16</v>
      </c>
      <c r="D420" s="1" t="s">
        <v>51</v>
      </c>
      <c r="E420" s="1" t="s">
        <v>41</v>
      </c>
      <c r="F420" s="1">
        <v>83621</v>
      </c>
      <c r="G420" s="1">
        <v>4</v>
      </c>
      <c r="H420" s="1">
        <v>5</v>
      </c>
      <c r="I420" s="1">
        <v>1</v>
      </c>
      <c r="J420" s="1" t="s">
        <v>19</v>
      </c>
      <c r="K420" s="1">
        <v>7</v>
      </c>
      <c r="L420" s="1" t="s">
        <v>20</v>
      </c>
      <c r="M420" s="1" t="s">
        <v>30</v>
      </c>
      <c r="N420" s="1">
        <v>67</v>
      </c>
      <c r="O420" s="3" t="s">
        <v>42</v>
      </c>
    </row>
    <row r="421" spans="1:15" x14ac:dyDescent="0.25">
      <c r="A421" s="2" t="s">
        <v>458</v>
      </c>
      <c r="B421" s="1">
        <v>31</v>
      </c>
      <c r="C421" s="1" t="s">
        <v>16</v>
      </c>
      <c r="D421" s="1" t="s">
        <v>29</v>
      </c>
      <c r="E421" s="1" t="s">
        <v>38</v>
      </c>
      <c r="F421" s="1">
        <v>64125</v>
      </c>
      <c r="G421" s="1">
        <v>3</v>
      </c>
      <c r="H421" s="1">
        <v>3</v>
      </c>
      <c r="I421" s="1">
        <v>2</v>
      </c>
      <c r="J421" s="1" t="s">
        <v>20</v>
      </c>
      <c r="K421" s="1">
        <v>1</v>
      </c>
      <c r="L421" s="1" t="s">
        <v>20</v>
      </c>
      <c r="M421" s="1" t="s">
        <v>30</v>
      </c>
      <c r="N421" s="1">
        <v>8</v>
      </c>
      <c r="O421" s="3" t="s">
        <v>31</v>
      </c>
    </row>
    <row r="422" spans="1:15" x14ac:dyDescent="0.25">
      <c r="A422" s="2" t="s">
        <v>459</v>
      </c>
      <c r="B422" s="1">
        <v>38</v>
      </c>
      <c r="C422" s="1" t="s">
        <v>16</v>
      </c>
      <c r="D422" s="1" t="s">
        <v>51</v>
      </c>
      <c r="E422" s="1" t="s">
        <v>18</v>
      </c>
      <c r="F422" s="1">
        <v>69491</v>
      </c>
      <c r="G422" s="1">
        <v>2</v>
      </c>
      <c r="H422" s="1"/>
      <c r="I422" s="1">
        <v>4</v>
      </c>
      <c r="J422" s="1" t="s">
        <v>19</v>
      </c>
      <c r="K422" s="1">
        <v>13</v>
      </c>
      <c r="L422" s="1" t="s">
        <v>19</v>
      </c>
      <c r="M422" s="1" t="s">
        <v>26</v>
      </c>
      <c r="N422" s="1">
        <v>24</v>
      </c>
      <c r="O422" s="3" t="s">
        <v>42</v>
      </c>
    </row>
    <row r="423" spans="1:15" x14ac:dyDescent="0.25">
      <c r="A423" s="2" t="s">
        <v>460</v>
      </c>
      <c r="B423" s="1">
        <v>40</v>
      </c>
      <c r="C423" s="1" t="s">
        <v>28</v>
      </c>
      <c r="D423" s="1" t="s">
        <v>49</v>
      </c>
      <c r="E423" s="1" t="s">
        <v>25</v>
      </c>
      <c r="F423" s="1">
        <v>35271</v>
      </c>
      <c r="G423" s="1">
        <v>2</v>
      </c>
      <c r="H423" s="1">
        <v>2</v>
      </c>
      <c r="I423" s="1">
        <v>5</v>
      </c>
      <c r="J423" s="1" t="s">
        <v>19</v>
      </c>
      <c r="K423" s="1">
        <v>4</v>
      </c>
      <c r="L423" s="1" t="s">
        <v>20</v>
      </c>
      <c r="M423" s="1" t="s">
        <v>26</v>
      </c>
      <c r="N423" s="1">
        <v>72</v>
      </c>
      <c r="O423" s="3" t="s">
        <v>44</v>
      </c>
    </row>
    <row r="424" spans="1:15" x14ac:dyDescent="0.25">
      <c r="A424" s="2" t="s">
        <v>461</v>
      </c>
      <c r="B424" s="1">
        <v>48</v>
      </c>
      <c r="C424" s="1" t="s">
        <v>16</v>
      </c>
      <c r="D424" s="1" t="s">
        <v>17</v>
      </c>
      <c r="E424" s="1" t="s">
        <v>25</v>
      </c>
      <c r="F424" s="1">
        <v>38715</v>
      </c>
      <c r="G424" s="1">
        <v>3</v>
      </c>
      <c r="H424" s="1">
        <v>1</v>
      </c>
      <c r="I424" s="1">
        <v>5</v>
      </c>
      <c r="J424" s="1" t="s">
        <v>19</v>
      </c>
      <c r="K424" s="1">
        <v>5</v>
      </c>
      <c r="L424" s="1" t="s">
        <v>20</v>
      </c>
      <c r="M424" s="1" t="s">
        <v>21</v>
      </c>
      <c r="N424" s="1">
        <v>8</v>
      </c>
      <c r="O424" s="3" t="s">
        <v>36</v>
      </c>
    </row>
    <row r="425" spans="1:15" x14ac:dyDescent="0.25">
      <c r="A425" s="2" t="s">
        <v>462</v>
      </c>
      <c r="B425" s="1">
        <v>47</v>
      </c>
      <c r="C425" s="1" t="s">
        <v>28</v>
      </c>
      <c r="D425" s="1" t="s">
        <v>29</v>
      </c>
      <c r="E425" s="1" t="s">
        <v>33</v>
      </c>
      <c r="F425" s="1">
        <v>115728</v>
      </c>
      <c r="G425" s="1">
        <v>3</v>
      </c>
      <c r="H425" s="1">
        <v>2</v>
      </c>
      <c r="I425" s="1">
        <v>2</v>
      </c>
      <c r="J425" s="1" t="s">
        <v>19</v>
      </c>
      <c r="K425" s="1">
        <v>4</v>
      </c>
      <c r="L425" s="1" t="s">
        <v>19</v>
      </c>
      <c r="M425" s="1" t="s">
        <v>21</v>
      </c>
      <c r="N425" s="1">
        <v>39</v>
      </c>
      <c r="O425" s="3" t="s">
        <v>31</v>
      </c>
    </row>
    <row r="426" spans="1:15" x14ac:dyDescent="0.25">
      <c r="A426" s="2" t="s">
        <v>463</v>
      </c>
      <c r="B426" s="1">
        <v>57</v>
      </c>
      <c r="C426" s="1" t="s">
        <v>16</v>
      </c>
      <c r="D426" s="1" t="s">
        <v>24</v>
      </c>
      <c r="E426" s="1" t="s">
        <v>41</v>
      </c>
      <c r="F426" s="1">
        <v>48266</v>
      </c>
      <c r="G426" s="1">
        <v>1</v>
      </c>
      <c r="H426" s="1">
        <v>3</v>
      </c>
      <c r="I426" s="1">
        <v>1</v>
      </c>
      <c r="J426" s="1" t="s">
        <v>20</v>
      </c>
      <c r="K426" s="1">
        <v>4</v>
      </c>
      <c r="L426" s="1" t="s">
        <v>20</v>
      </c>
      <c r="M426" s="1" t="s">
        <v>26</v>
      </c>
      <c r="N426" s="1">
        <v>52</v>
      </c>
      <c r="O426" s="3" t="s">
        <v>44</v>
      </c>
    </row>
    <row r="427" spans="1:15" x14ac:dyDescent="0.25">
      <c r="A427" s="2" t="s">
        <v>464</v>
      </c>
      <c r="B427" s="1">
        <v>45</v>
      </c>
      <c r="C427" s="1" t="s">
        <v>28</v>
      </c>
      <c r="D427" s="1" t="s">
        <v>49</v>
      </c>
      <c r="E427" s="1" t="s">
        <v>41</v>
      </c>
      <c r="F427" s="1">
        <v>39467</v>
      </c>
      <c r="G427" s="1">
        <v>2</v>
      </c>
      <c r="H427" s="1">
        <v>2</v>
      </c>
      <c r="I427" s="1">
        <v>1</v>
      </c>
      <c r="J427" s="1" t="s">
        <v>20</v>
      </c>
      <c r="K427" s="1">
        <v>0</v>
      </c>
      <c r="L427" s="1" t="s">
        <v>20</v>
      </c>
      <c r="M427" s="1" t="s">
        <v>30</v>
      </c>
      <c r="N427" s="1">
        <v>33</v>
      </c>
      <c r="O427" s="3" t="s">
        <v>44</v>
      </c>
    </row>
    <row r="428" spans="1:15" x14ac:dyDescent="0.25">
      <c r="A428" s="2" t="s">
        <v>465</v>
      </c>
      <c r="B428" s="1">
        <v>34</v>
      </c>
      <c r="C428" s="1" t="s">
        <v>16</v>
      </c>
      <c r="D428" s="1" t="s">
        <v>51</v>
      </c>
      <c r="E428" s="1" t="s">
        <v>33</v>
      </c>
      <c r="F428" s="1">
        <v>98879</v>
      </c>
      <c r="G428" s="1">
        <v>4</v>
      </c>
      <c r="H428" s="1">
        <v>3</v>
      </c>
      <c r="I428" s="1">
        <v>4</v>
      </c>
      <c r="J428" s="1" t="s">
        <v>19</v>
      </c>
      <c r="K428" s="1">
        <v>13</v>
      </c>
      <c r="L428" s="1" t="s">
        <v>20</v>
      </c>
      <c r="M428" s="1" t="s">
        <v>21</v>
      </c>
      <c r="N428" s="1">
        <v>53</v>
      </c>
      <c r="O428" s="3" t="s">
        <v>36</v>
      </c>
    </row>
    <row r="429" spans="1:15" x14ac:dyDescent="0.25">
      <c r="A429" s="2" t="s">
        <v>466</v>
      </c>
      <c r="B429" s="1">
        <v>46</v>
      </c>
      <c r="C429" s="1" t="s">
        <v>16</v>
      </c>
      <c r="D429" s="1" t="s">
        <v>24</v>
      </c>
      <c r="E429" s="1" t="s">
        <v>35</v>
      </c>
      <c r="F429" s="1">
        <v>77193</v>
      </c>
      <c r="G429" s="1">
        <v>4</v>
      </c>
      <c r="H429" s="1">
        <v>1</v>
      </c>
      <c r="I429" s="1">
        <v>2</v>
      </c>
      <c r="J429" s="1" t="s">
        <v>20</v>
      </c>
      <c r="K429" s="1">
        <v>1</v>
      </c>
      <c r="L429" s="1" t="s">
        <v>20</v>
      </c>
      <c r="M429" s="1" t="s">
        <v>26</v>
      </c>
      <c r="N429" s="1">
        <v>11</v>
      </c>
      <c r="O429" s="3" t="s">
        <v>44</v>
      </c>
    </row>
    <row r="430" spans="1:15" x14ac:dyDescent="0.25">
      <c r="A430" s="2" t="s">
        <v>467</v>
      </c>
      <c r="B430" s="1">
        <v>39</v>
      </c>
      <c r="C430" s="1" t="s">
        <v>28</v>
      </c>
      <c r="D430" s="1" t="s">
        <v>49</v>
      </c>
      <c r="E430" s="1" t="s">
        <v>18</v>
      </c>
      <c r="F430" s="1">
        <v>119407</v>
      </c>
      <c r="G430" s="1">
        <v>3</v>
      </c>
      <c r="H430" s="1">
        <v>4</v>
      </c>
      <c r="I430" s="1"/>
      <c r="J430" s="1" t="s">
        <v>20</v>
      </c>
      <c r="K430" s="1">
        <v>9</v>
      </c>
      <c r="L430" s="1" t="s">
        <v>19</v>
      </c>
      <c r="M430" s="1" t="s">
        <v>26</v>
      </c>
      <c r="N430" s="1">
        <v>71</v>
      </c>
      <c r="O430" s="3" t="s">
        <v>44</v>
      </c>
    </row>
    <row r="431" spans="1:15" x14ac:dyDescent="0.25">
      <c r="A431" s="2" t="s">
        <v>468</v>
      </c>
      <c r="B431" s="1">
        <v>50</v>
      </c>
      <c r="C431" s="1" t="s">
        <v>28</v>
      </c>
      <c r="D431" s="1" t="s">
        <v>40</v>
      </c>
      <c r="E431" s="1" t="s">
        <v>38</v>
      </c>
      <c r="F431" s="1">
        <v>83622</v>
      </c>
      <c r="G431" s="1">
        <v>1</v>
      </c>
      <c r="H431" s="1">
        <v>2</v>
      </c>
      <c r="I431" s="1">
        <v>5</v>
      </c>
      <c r="J431" s="1" t="s">
        <v>19</v>
      </c>
      <c r="K431" s="1">
        <v>12</v>
      </c>
      <c r="L431" s="1" t="s">
        <v>20</v>
      </c>
      <c r="M431" s="1" t="s">
        <v>30</v>
      </c>
      <c r="N431" s="1">
        <v>62</v>
      </c>
      <c r="O431" s="3" t="s">
        <v>22</v>
      </c>
    </row>
    <row r="432" spans="1:15" x14ac:dyDescent="0.25">
      <c r="A432" s="2" t="s">
        <v>469</v>
      </c>
      <c r="B432" s="1">
        <v>32</v>
      </c>
      <c r="C432" s="1" t="s">
        <v>28</v>
      </c>
      <c r="D432" s="1" t="s">
        <v>24</v>
      </c>
      <c r="E432" s="1" t="s">
        <v>38</v>
      </c>
      <c r="F432" s="1">
        <v>44467</v>
      </c>
      <c r="G432" s="1">
        <v>4</v>
      </c>
      <c r="H432" s="1">
        <v>1</v>
      </c>
      <c r="I432" s="1">
        <v>3</v>
      </c>
      <c r="J432" s="1" t="s">
        <v>20</v>
      </c>
      <c r="K432" s="1">
        <v>20</v>
      </c>
      <c r="L432" s="1" t="s">
        <v>19</v>
      </c>
      <c r="M432" s="1" t="s">
        <v>26</v>
      </c>
      <c r="N432" s="1">
        <v>20</v>
      </c>
      <c r="O432" s="3" t="s">
        <v>22</v>
      </c>
    </row>
    <row r="433" spans="1:15" x14ac:dyDescent="0.25">
      <c r="A433" s="2" t="s">
        <v>470</v>
      </c>
      <c r="B433" s="1">
        <v>28</v>
      </c>
      <c r="C433" s="1" t="s">
        <v>28</v>
      </c>
      <c r="D433" s="1" t="s">
        <v>17</v>
      </c>
      <c r="E433" s="1" t="s">
        <v>18</v>
      </c>
      <c r="F433" s="1">
        <v>29181</v>
      </c>
      <c r="G433" s="1">
        <v>5</v>
      </c>
      <c r="H433" s="1">
        <v>4</v>
      </c>
      <c r="I433" s="1">
        <v>5</v>
      </c>
      <c r="J433" s="1" t="s">
        <v>19</v>
      </c>
      <c r="K433" s="1">
        <v>12</v>
      </c>
      <c r="L433" s="1" t="s">
        <v>20</v>
      </c>
      <c r="M433" s="1" t="s">
        <v>21</v>
      </c>
      <c r="N433" s="1">
        <v>26</v>
      </c>
      <c r="O433" s="3" t="s">
        <v>36</v>
      </c>
    </row>
    <row r="434" spans="1:15" x14ac:dyDescent="0.25">
      <c r="A434" s="2" t="s">
        <v>471</v>
      </c>
      <c r="B434" s="1">
        <v>57</v>
      </c>
      <c r="C434" s="1" t="s">
        <v>16</v>
      </c>
      <c r="D434" s="1" t="s">
        <v>51</v>
      </c>
      <c r="E434" s="1" t="s">
        <v>41</v>
      </c>
      <c r="F434" s="1">
        <v>41444</v>
      </c>
      <c r="G434" s="1">
        <v>1</v>
      </c>
      <c r="H434" s="1">
        <v>4</v>
      </c>
      <c r="I434" s="1">
        <v>3</v>
      </c>
      <c r="J434" s="1" t="s">
        <v>20</v>
      </c>
      <c r="K434" s="1">
        <v>14</v>
      </c>
      <c r="L434" s="1" t="s">
        <v>20</v>
      </c>
      <c r="M434" s="1" t="s">
        <v>26</v>
      </c>
      <c r="N434" s="1">
        <v>28</v>
      </c>
      <c r="O434" s="3" t="s">
        <v>22</v>
      </c>
    </row>
    <row r="435" spans="1:15" x14ac:dyDescent="0.25">
      <c r="A435" s="2" t="s">
        <v>472</v>
      </c>
      <c r="B435" s="1">
        <v>29</v>
      </c>
      <c r="C435" s="1" t="s">
        <v>16</v>
      </c>
      <c r="D435" s="1" t="s">
        <v>40</v>
      </c>
      <c r="E435" s="1" t="s">
        <v>25</v>
      </c>
      <c r="F435" s="1">
        <v>118321</v>
      </c>
      <c r="G435" s="1">
        <v>3</v>
      </c>
      <c r="H435" s="1">
        <v>1</v>
      </c>
      <c r="I435" s="1">
        <v>4</v>
      </c>
      <c r="J435" s="1" t="s">
        <v>20</v>
      </c>
      <c r="K435" s="1">
        <v>15</v>
      </c>
      <c r="L435" s="1" t="s">
        <v>19</v>
      </c>
      <c r="M435" s="1" t="s">
        <v>26</v>
      </c>
      <c r="N435" s="1">
        <v>68</v>
      </c>
      <c r="O435" s="3" t="s">
        <v>44</v>
      </c>
    </row>
    <row r="436" spans="1:15" x14ac:dyDescent="0.25">
      <c r="A436" s="2" t="s">
        <v>473</v>
      </c>
      <c r="B436" s="1">
        <v>34</v>
      </c>
      <c r="C436" s="1" t="s">
        <v>28</v>
      </c>
      <c r="D436" s="1" t="s">
        <v>49</v>
      </c>
      <c r="E436" s="1" t="s">
        <v>33</v>
      </c>
      <c r="F436" s="1">
        <v>75917</v>
      </c>
      <c r="G436" s="1">
        <v>1</v>
      </c>
      <c r="H436" s="1">
        <v>5</v>
      </c>
      <c r="I436" s="1">
        <v>5</v>
      </c>
      <c r="J436" s="1" t="s">
        <v>19</v>
      </c>
      <c r="K436" s="1">
        <v>7</v>
      </c>
      <c r="L436" s="1" t="s">
        <v>20</v>
      </c>
      <c r="M436" s="1" t="s">
        <v>26</v>
      </c>
      <c r="N436" s="1">
        <v>76</v>
      </c>
      <c r="O436" s="3" t="s">
        <v>44</v>
      </c>
    </row>
    <row r="437" spans="1:15" x14ac:dyDescent="0.25">
      <c r="A437" s="2" t="s">
        <v>474</v>
      </c>
      <c r="B437" s="1">
        <v>24</v>
      </c>
      <c r="C437" s="1" t="s">
        <v>16</v>
      </c>
      <c r="D437" s="1" t="s">
        <v>51</v>
      </c>
      <c r="E437" s="1" t="s">
        <v>35</v>
      </c>
      <c r="F437" s="1">
        <v>103626</v>
      </c>
      <c r="G437" s="1">
        <v>3</v>
      </c>
      <c r="H437" s="1">
        <v>1</v>
      </c>
      <c r="I437" s="1">
        <v>2</v>
      </c>
      <c r="J437" s="1" t="s">
        <v>19</v>
      </c>
      <c r="K437" s="1">
        <v>18</v>
      </c>
      <c r="L437" s="1" t="s">
        <v>20</v>
      </c>
      <c r="M437" s="1" t="s">
        <v>30</v>
      </c>
      <c r="N437" s="1">
        <v>16</v>
      </c>
      <c r="O437" s="3" t="s">
        <v>22</v>
      </c>
    </row>
    <row r="438" spans="1:15" x14ac:dyDescent="0.25">
      <c r="A438" s="2" t="s">
        <v>475</v>
      </c>
      <c r="B438" s="1">
        <v>27</v>
      </c>
      <c r="C438" s="1" t="s">
        <v>28</v>
      </c>
      <c r="D438" s="1" t="s">
        <v>51</v>
      </c>
      <c r="E438" s="1" t="s">
        <v>41</v>
      </c>
      <c r="F438" s="1">
        <v>106092</v>
      </c>
      <c r="G438" s="1"/>
      <c r="H438" s="1">
        <v>5</v>
      </c>
      <c r="I438" s="1">
        <v>5</v>
      </c>
      <c r="J438" s="1" t="s">
        <v>19</v>
      </c>
      <c r="K438" s="1">
        <v>14</v>
      </c>
      <c r="L438" s="1" t="s">
        <v>20</v>
      </c>
      <c r="M438" s="1" t="s">
        <v>21</v>
      </c>
      <c r="N438" s="1">
        <v>16</v>
      </c>
      <c r="O438" s="3" t="s">
        <v>36</v>
      </c>
    </row>
    <row r="439" spans="1:15" x14ac:dyDescent="0.25">
      <c r="A439" s="2" t="s">
        <v>476</v>
      </c>
      <c r="B439" s="1"/>
      <c r="C439" s="1" t="s">
        <v>28</v>
      </c>
      <c r="D439" s="1" t="s">
        <v>49</v>
      </c>
      <c r="E439" s="1" t="s">
        <v>35</v>
      </c>
      <c r="F439" s="1">
        <v>117410</v>
      </c>
      <c r="G439" s="1">
        <v>4</v>
      </c>
      <c r="H439" s="1">
        <v>5</v>
      </c>
      <c r="I439" s="1">
        <v>1</v>
      </c>
      <c r="J439" s="1" t="s">
        <v>20</v>
      </c>
      <c r="K439" s="1">
        <v>15</v>
      </c>
      <c r="L439" s="1" t="s">
        <v>19</v>
      </c>
      <c r="M439" s="1" t="s">
        <v>21</v>
      </c>
      <c r="N439" s="1">
        <v>40</v>
      </c>
      <c r="O439" s="3" t="s">
        <v>36</v>
      </c>
    </row>
    <row r="440" spans="1:15" x14ac:dyDescent="0.25">
      <c r="A440" s="2" t="s">
        <v>477</v>
      </c>
      <c r="B440" s="1"/>
      <c r="C440" s="1" t="s">
        <v>28</v>
      </c>
      <c r="D440" s="1" t="s">
        <v>24</v>
      </c>
      <c r="E440" s="1" t="s">
        <v>41</v>
      </c>
      <c r="F440" s="1">
        <v>109203</v>
      </c>
      <c r="G440" s="1">
        <v>2</v>
      </c>
      <c r="H440" s="1">
        <v>5</v>
      </c>
      <c r="I440" s="1">
        <v>1</v>
      </c>
      <c r="J440" s="1" t="s">
        <v>19</v>
      </c>
      <c r="K440" s="1">
        <v>18</v>
      </c>
      <c r="L440" s="1" t="s">
        <v>19</v>
      </c>
      <c r="M440" s="1" t="s">
        <v>30</v>
      </c>
      <c r="N440" s="1">
        <v>41</v>
      </c>
      <c r="O440" s="3" t="s">
        <v>42</v>
      </c>
    </row>
    <row r="441" spans="1:15" x14ac:dyDescent="0.25">
      <c r="A441" s="2" t="s">
        <v>478</v>
      </c>
      <c r="B441" s="1">
        <v>41</v>
      </c>
      <c r="C441" s="1" t="s">
        <v>28</v>
      </c>
      <c r="D441" s="1" t="s">
        <v>24</v>
      </c>
      <c r="E441" s="1" t="s">
        <v>25</v>
      </c>
      <c r="F441" s="1">
        <v>99689</v>
      </c>
      <c r="G441" s="1">
        <v>3</v>
      </c>
      <c r="H441" s="1">
        <v>2</v>
      </c>
      <c r="I441" s="1">
        <v>5</v>
      </c>
      <c r="J441" s="1" t="s">
        <v>20</v>
      </c>
      <c r="K441" s="1">
        <v>16</v>
      </c>
      <c r="L441" s="1" t="s">
        <v>20</v>
      </c>
      <c r="M441" s="1" t="s">
        <v>30</v>
      </c>
      <c r="N441" s="1">
        <v>28</v>
      </c>
      <c r="O441" s="3" t="s">
        <v>31</v>
      </c>
    </row>
    <row r="442" spans="1:15" x14ac:dyDescent="0.25">
      <c r="A442" s="2" t="s">
        <v>479</v>
      </c>
      <c r="B442" s="1">
        <v>35</v>
      </c>
      <c r="C442" s="1" t="s">
        <v>28</v>
      </c>
      <c r="D442" s="1" t="s">
        <v>51</v>
      </c>
      <c r="E442" s="1" t="s">
        <v>35</v>
      </c>
      <c r="F442" s="1">
        <v>33493</v>
      </c>
      <c r="G442" s="1">
        <v>1</v>
      </c>
      <c r="H442" s="1">
        <v>4</v>
      </c>
      <c r="I442" s="1">
        <v>1</v>
      </c>
      <c r="J442" s="1" t="s">
        <v>19</v>
      </c>
      <c r="K442" s="1">
        <v>19</v>
      </c>
      <c r="L442" s="1" t="s">
        <v>20</v>
      </c>
      <c r="M442" s="1" t="s">
        <v>30</v>
      </c>
      <c r="N442" s="1">
        <v>10</v>
      </c>
      <c r="O442" s="3" t="s">
        <v>36</v>
      </c>
    </row>
    <row r="443" spans="1:15" x14ac:dyDescent="0.25">
      <c r="A443" s="2" t="s">
        <v>480</v>
      </c>
      <c r="B443" s="1"/>
      <c r="C443" s="1" t="s">
        <v>16</v>
      </c>
      <c r="D443" s="1" t="s">
        <v>40</v>
      </c>
      <c r="E443" s="1" t="s">
        <v>38</v>
      </c>
      <c r="F443" s="1">
        <v>44370</v>
      </c>
      <c r="G443" s="1">
        <v>3</v>
      </c>
      <c r="H443" s="1">
        <v>3</v>
      </c>
      <c r="I443" s="1">
        <v>1</v>
      </c>
      <c r="J443" s="1" t="s">
        <v>20</v>
      </c>
      <c r="K443" s="1">
        <v>9</v>
      </c>
      <c r="L443" s="1" t="s">
        <v>20</v>
      </c>
      <c r="M443" s="1" t="s">
        <v>21</v>
      </c>
      <c r="N443" s="1">
        <v>19</v>
      </c>
      <c r="O443" s="3" t="s">
        <v>36</v>
      </c>
    </row>
    <row r="444" spans="1:15" x14ac:dyDescent="0.25">
      <c r="A444" s="2" t="s">
        <v>481</v>
      </c>
      <c r="B444" s="1">
        <v>42</v>
      </c>
      <c r="C444" s="1" t="s">
        <v>28</v>
      </c>
      <c r="D444" s="1" t="s">
        <v>17</v>
      </c>
      <c r="E444" s="1" t="s">
        <v>25</v>
      </c>
      <c r="F444" s="1">
        <v>98739</v>
      </c>
      <c r="G444" s="1">
        <v>1</v>
      </c>
      <c r="H444" s="1">
        <v>2</v>
      </c>
      <c r="I444" s="1">
        <v>2</v>
      </c>
      <c r="J444" s="1" t="s">
        <v>20</v>
      </c>
      <c r="K444" s="1">
        <v>10</v>
      </c>
      <c r="L444" s="1" t="s">
        <v>20</v>
      </c>
      <c r="M444" s="1" t="s">
        <v>30</v>
      </c>
      <c r="N444" s="1">
        <v>9</v>
      </c>
      <c r="O444" s="3" t="s">
        <v>44</v>
      </c>
    </row>
    <row r="445" spans="1:15" x14ac:dyDescent="0.25">
      <c r="A445" s="2" t="s">
        <v>482</v>
      </c>
      <c r="B445" s="1">
        <v>51</v>
      </c>
      <c r="C445" s="1" t="s">
        <v>16</v>
      </c>
      <c r="D445" s="1" t="s">
        <v>17</v>
      </c>
      <c r="E445" s="1" t="s">
        <v>33</v>
      </c>
      <c r="F445" s="1">
        <v>88381</v>
      </c>
      <c r="G445" s="1">
        <v>3</v>
      </c>
      <c r="H445" s="1">
        <v>4</v>
      </c>
      <c r="I445" s="1">
        <v>4</v>
      </c>
      <c r="J445" s="1" t="s">
        <v>19</v>
      </c>
      <c r="K445" s="1">
        <v>16</v>
      </c>
      <c r="L445" s="1" t="s">
        <v>20</v>
      </c>
      <c r="M445" s="1" t="s">
        <v>26</v>
      </c>
      <c r="N445" s="1">
        <v>45</v>
      </c>
      <c r="O445" s="3" t="s">
        <v>31</v>
      </c>
    </row>
    <row r="446" spans="1:15" x14ac:dyDescent="0.25">
      <c r="A446" s="2" t="s">
        <v>483</v>
      </c>
      <c r="B446" s="1">
        <v>55</v>
      </c>
      <c r="C446" s="1" t="s">
        <v>16</v>
      </c>
      <c r="D446" s="1" t="s">
        <v>51</v>
      </c>
      <c r="E446" s="1" t="s">
        <v>25</v>
      </c>
      <c r="F446" s="1">
        <v>107848</v>
      </c>
      <c r="G446" s="1">
        <v>3</v>
      </c>
      <c r="H446" s="1">
        <v>3</v>
      </c>
      <c r="I446" s="1">
        <v>1</v>
      </c>
      <c r="J446" s="1" t="s">
        <v>19</v>
      </c>
      <c r="K446" s="1">
        <v>8</v>
      </c>
      <c r="L446" s="1" t="s">
        <v>19</v>
      </c>
      <c r="M446" s="1" t="s">
        <v>30</v>
      </c>
      <c r="N446" s="1">
        <v>53</v>
      </c>
      <c r="O446" s="3" t="s">
        <v>31</v>
      </c>
    </row>
    <row r="447" spans="1:15" x14ac:dyDescent="0.25">
      <c r="A447" s="2" t="s">
        <v>484</v>
      </c>
      <c r="B447" s="1">
        <v>31</v>
      </c>
      <c r="C447" s="1" t="s">
        <v>28</v>
      </c>
      <c r="D447" s="1" t="s">
        <v>51</v>
      </c>
      <c r="E447" s="1" t="s">
        <v>25</v>
      </c>
      <c r="F447" s="1">
        <v>33315</v>
      </c>
      <c r="G447" s="1">
        <v>3</v>
      </c>
      <c r="H447" s="1">
        <v>3</v>
      </c>
      <c r="I447" s="1">
        <v>1</v>
      </c>
      <c r="J447" s="1" t="s">
        <v>20</v>
      </c>
      <c r="K447" s="1">
        <v>13</v>
      </c>
      <c r="L447" s="1" t="s">
        <v>19</v>
      </c>
      <c r="M447" s="1" t="s">
        <v>30</v>
      </c>
      <c r="N447" s="1">
        <v>35</v>
      </c>
      <c r="O447" s="3" t="s">
        <v>36</v>
      </c>
    </row>
    <row r="448" spans="1:15" x14ac:dyDescent="0.25">
      <c r="A448" s="2" t="s">
        <v>485</v>
      </c>
      <c r="B448" s="1">
        <v>49</v>
      </c>
      <c r="C448" s="1" t="s">
        <v>28</v>
      </c>
      <c r="D448" s="1" t="s">
        <v>51</v>
      </c>
      <c r="E448" s="1" t="s">
        <v>25</v>
      </c>
      <c r="F448" s="1">
        <v>57625</v>
      </c>
      <c r="G448" s="1">
        <v>2</v>
      </c>
      <c r="H448" s="1">
        <v>1</v>
      </c>
      <c r="I448" s="1"/>
      <c r="J448" s="1" t="s">
        <v>19</v>
      </c>
      <c r="K448" s="1">
        <v>6</v>
      </c>
      <c r="L448" s="1" t="s">
        <v>19</v>
      </c>
      <c r="M448" s="1" t="s">
        <v>30</v>
      </c>
      <c r="N448" s="1">
        <v>69</v>
      </c>
      <c r="O448" s="3" t="s">
        <v>22</v>
      </c>
    </row>
    <row r="449" spans="1:15" x14ac:dyDescent="0.25">
      <c r="A449" s="2" t="s">
        <v>486</v>
      </c>
      <c r="B449" s="1">
        <v>51</v>
      </c>
      <c r="C449" s="1" t="s">
        <v>16</v>
      </c>
      <c r="D449" s="1" t="s">
        <v>51</v>
      </c>
      <c r="E449" s="1" t="s">
        <v>18</v>
      </c>
      <c r="F449" s="1">
        <v>81369</v>
      </c>
      <c r="G449" s="1">
        <v>5</v>
      </c>
      <c r="H449" s="1">
        <v>3</v>
      </c>
      <c r="I449" s="1">
        <v>3</v>
      </c>
      <c r="J449" s="1" t="s">
        <v>19</v>
      </c>
      <c r="K449" s="1">
        <v>3</v>
      </c>
      <c r="L449" s="1" t="s">
        <v>19</v>
      </c>
      <c r="M449" s="1" t="s">
        <v>21</v>
      </c>
      <c r="N449" s="1">
        <v>9</v>
      </c>
      <c r="O449" s="3" t="s">
        <v>42</v>
      </c>
    </row>
    <row r="450" spans="1:15" x14ac:dyDescent="0.25">
      <c r="A450" s="2" t="s">
        <v>487</v>
      </c>
      <c r="B450" s="1">
        <v>45</v>
      </c>
      <c r="C450" s="1" t="s">
        <v>16</v>
      </c>
      <c r="D450" s="1" t="s">
        <v>40</v>
      </c>
      <c r="E450" s="1" t="s">
        <v>18</v>
      </c>
      <c r="F450" s="1">
        <v>23771</v>
      </c>
      <c r="G450" s="1">
        <v>5</v>
      </c>
      <c r="H450" s="1">
        <v>1</v>
      </c>
      <c r="I450" s="1">
        <v>3</v>
      </c>
      <c r="J450" s="1" t="s">
        <v>20</v>
      </c>
      <c r="K450" s="1">
        <v>1</v>
      </c>
      <c r="L450" s="1" t="s">
        <v>19</v>
      </c>
      <c r="M450" s="1" t="s">
        <v>26</v>
      </c>
      <c r="N450" s="1">
        <v>44</v>
      </c>
      <c r="O450" s="3" t="s">
        <v>22</v>
      </c>
    </row>
    <row r="451" spans="1:15" x14ac:dyDescent="0.25">
      <c r="A451" s="2" t="s">
        <v>488</v>
      </c>
      <c r="B451" s="1">
        <v>57</v>
      </c>
      <c r="C451" s="1" t="s">
        <v>28</v>
      </c>
      <c r="D451" s="1" t="s">
        <v>17</v>
      </c>
      <c r="E451" s="1" t="s">
        <v>41</v>
      </c>
      <c r="F451" s="1">
        <v>60058</v>
      </c>
      <c r="G451" s="1">
        <v>2</v>
      </c>
      <c r="H451" s="1">
        <v>2</v>
      </c>
      <c r="I451" s="1">
        <v>3</v>
      </c>
      <c r="J451" s="1" t="s">
        <v>20</v>
      </c>
      <c r="K451" s="1">
        <v>17</v>
      </c>
      <c r="L451" s="1" t="s">
        <v>20</v>
      </c>
      <c r="M451" s="1" t="s">
        <v>30</v>
      </c>
      <c r="N451" s="1">
        <v>20</v>
      </c>
      <c r="O451" s="3" t="s">
        <v>36</v>
      </c>
    </row>
    <row r="452" spans="1:15" x14ac:dyDescent="0.25">
      <c r="A452" s="2" t="s">
        <v>489</v>
      </c>
      <c r="B452" s="1">
        <v>30</v>
      </c>
      <c r="C452" s="1" t="s">
        <v>16</v>
      </c>
      <c r="D452" s="1" t="s">
        <v>29</v>
      </c>
      <c r="E452" s="1" t="s">
        <v>35</v>
      </c>
      <c r="F452" s="1">
        <v>19999</v>
      </c>
      <c r="G452" s="1">
        <v>5</v>
      </c>
      <c r="H452" s="1">
        <v>5</v>
      </c>
      <c r="I452" s="1">
        <v>5</v>
      </c>
      <c r="J452" s="1" t="s">
        <v>19</v>
      </c>
      <c r="K452" s="1">
        <v>6</v>
      </c>
      <c r="L452" s="1" t="s">
        <v>20</v>
      </c>
      <c r="M452" s="1" t="s">
        <v>26</v>
      </c>
      <c r="N452" s="1">
        <v>45</v>
      </c>
      <c r="O452" s="3" t="s">
        <v>36</v>
      </c>
    </row>
    <row r="453" spans="1:15" x14ac:dyDescent="0.25">
      <c r="A453" s="2" t="s">
        <v>490</v>
      </c>
      <c r="B453" s="1">
        <v>30</v>
      </c>
      <c r="C453" s="1" t="s">
        <v>28</v>
      </c>
      <c r="D453" s="1" t="s">
        <v>24</v>
      </c>
      <c r="E453" s="1" t="s">
        <v>41</v>
      </c>
      <c r="F453" s="1">
        <v>40449</v>
      </c>
      <c r="G453" s="1">
        <v>1</v>
      </c>
      <c r="H453" s="1">
        <v>3</v>
      </c>
      <c r="I453" s="1">
        <v>5</v>
      </c>
      <c r="J453" s="1" t="s">
        <v>20</v>
      </c>
      <c r="K453" s="1">
        <v>17</v>
      </c>
      <c r="L453" s="1" t="s">
        <v>20</v>
      </c>
      <c r="M453" s="1" t="s">
        <v>21</v>
      </c>
      <c r="N453" s="1">
        <v>21</v>
      </c>
      <c r="O453" s="3" t="s">
        <v>22</v>
      </c>
    </row>
    <row r="454" spans="1:15" x14ac:dyDescent="0.25">
      <c r="A454" s="2" t="s">
        <v>491</v>
      </c>
      <c r="B454" s="1">
        <v>51</v>
      </c>
      <c r="C454" s="1" t="s">
        <v>16</v>
      </c>
      <c r="D454" s="1" t="s">
        <v>40</v>
      </c>
      <c r="E454" s="1" t="s">
        <v>33</v>
      </c>
      <c r="F454" s="1">
        <v>25051</v>
      </c>
      <c r="G454" s="1">
        <v>1</v>
      </c>
      <c r="H454" s="1">
        <v>4</v>
      </c>
      <c r="I454" s="1">
        <v>4</v>
      </c>
      <c r="J454" s="1" t="s">
        <v>19</v>
      </c>
      <c r="K454" s="1">
        <v>19</v>
      </c>
      <c r="L454" s="1" t="s">
        <v>20</v>
      </c>
      <c r="M454" s="1" t="s">
        <v>26</v>
      </c>
      <c r="N454" s="1">
        <v>50</v>
      </c>
      <c r="O454" s="3" t="s">
        <v>36</v>
      </c>
    </row>
    <row r="455" spans="1:15" x14ac:dyDescent="0.25">
      <c r="A455" s="2" t="s">
        <v>492</v>
      </c>
      <c r="B455" s="1">
        <v>42</v>
      </c>
      <c r="C455" s="1" t="s">
        <v>16</v>
      </c>
      <c r="D455" s="1" t="s">
        <v>17</v>
      </c>
      <c r="E455" s="1" t="s">
        <v>38</v>
      </c>
      <c r="F455" s="1">
        <v>87924</v>
      </c>
      <c r="G455" s="1"/>
      <c r="H455" s="1">
        <v>4</v>
      </c>
      <c r="I455" s="1">
        <v>5</v>
      </c>
      <c r="J455" s="1" t="s">
        <v>19</v>
      </c>
      <c r="K455" s="1">
        <v>2</v>
      </c>
      <c r="L455" s="1" t="s">
        <v>20</v>
      </c>
      <c r="M455" s="1" t="s">
        <v>21</v>
      </c>
      <c r="N455" s="1">
        <v>63</v>
      </c>
      <c r="O455" s="3" t="s">
        <v>36</v>
      </c>
    </row>
    <row r="456" spans="1:15" x14ac:dyDescent="0.25">
      <c r="A456" s="2" t="s">
        <v>493</v>
      </c>
      <c r="B456" s="1">
        <v>50</v>
      </c>
      <c r="C456" s="1" t="s">
        <v>28</v>
      </c>
      <c r="D456" s="1" t="s">
        <v>51</v>
      </c>
      <c r="E456" s="1" t="s">
        <v>41</v>
      </c>
      <c r="F456" s="1">
        <v>36837</v>
      </c>
      <c r="G456" s="1">
        <v>5</v>
      </c>
      <c r="H456" s="1">
        <v>3</v>
      </c>
      <c r="I456" s="1">
        <v>3</v>
      </c>
      <c r="J456" s="1" t="s">
        <v>20</v>
      </c>
      <c r="K456" s="1">
        <v>5</v>
      </c>
      <c r="L456" s="1" t="s">
        <v>20</v>
      </c>
      <c r="M456" s="1" t="s">
        <v>30</v>
      </c>
      <c r="N456" s="1">
        <v>63</v>
      </c>
      <c r="O456" s="3" t="s">
        <v>42</v>
      </c>
    </row>
    <row r="457" spans="1:15" x14ac:dyDescent="0.25">
      <c r="A457" s="2" t="s">
        <v>494</v>
      </c>
      <c r="B457" s="1">
        <v>22</v>
      </c>
      <c r="C457" s="1" t="s">
        <v>16</v>
      </c>
      <c r="D457" s="1" t="s">
        <v>49</v>
      </c>
      <c r="E457" s="1" t="s">
        <v>35</v>
      </c>
      <c r="F457" s="1"/>
      <c r="G457" s="1">
        <v>4</v>
      </c>
      <c r="H457" s="1">
        <v>4</v>
      </c>
      <c r="I457" s="1">
        <v>2</v>
      </c>
      <c r="J457" s="1" t="s">
        <v>20</v>
      </c>
      <c r="K457" s="1">
        <v>11</v>
      </c>
      <c r="L457" s="1" t="s">
        <v>19</v>
      </c>
      <c r="M457" s="1" t="s">
        <v>26</v>
      </c>
      <c r="N457" s="1">
        <v>18</v>
      </c>
      <c r="O457" s="3" t="s">
        <v>42</v>
      </c>
    </row>
    <row r="458" spans="1:15" x14ac:dyDescent="0.25">
      <c r="A458" s="2" t="s">
        <v>495</v>
      </c>
      <c r="B458" s="1">
        <v>27</v>
      </c>
      <c r="C458" s="1" t="s">
        <v>28</v>
      </c>
      <c r="D458" s="1" t="s">
        <v>24</v>
      </c>
      <c r="E458" s="1" t="s">
        <v>38</v>
      </c>
      <c r="F458" s="1">
        <v>27296</v>
      </c>
      <c r="G458" s="1">
        <v>3</v>
      </c>
      <c r="H458" s="1">
        <v>5</v>
      </c>
      <c r="I458" s="1"/>
      <c r="J458" s="1" t="s">
        <v>20</v>
      </c>
      <c r="K458" s="1">
        <v>18</v>
      </c>
      <c r="L458" s="1" t="s">
        <v>20</v>
      </c>
      <c r="M458" s="1" t="s">
        <v>21</v>
      </c>
      <c r="N458" s="1">
        <v>36</v>
      </c>
      <c r="O458" s="3" t="s">
        <v>31</v>
      </c>
    </row>
    <row r="459" spans="1:15" x14ac:dyDescent="0.25">
      <c r="A459" s="2" t="s">
        <v>496</v>
      </c>
      <c r="B459" s="1">
        <v>31</v>
      </c>
      <c r="C459" s="1" t="s">
        <v>28</v>
      </c>
      <c r="D459" s="1" t="s">
        <v>49</v>
      </c>
      <c r="E459" s="1" t="s">
        <v>35</v>
      </c>
      <c r="F459" s="1">
        <v>62658</v>
      </c>
      <c r="G459" s="1">
        <v>2</v>
      </c>
      <c r="H459" s="1">
        <v>5</v>
      </c>
      <c r="I459" s="1">
        <v>4</v>
      </c>
      <c r="J459" s="1" t="s">
        <v>20</v>
      </c>
      <c r="K459" s="1">
        <v>18</v>
      </c>
      <c r="L459" s="1" t="s">
        <v>20</v>
      </c>
      <c r="M459" s="1" t="s">
        <v>26</v>
      </c>
      <c r="N459" s="1">
        <v>35</v>
      </c>
      <c r="O459" s="3" t="s">
        <v>44</v>
      </c>
    </row>
    <row r="460" spans="1:15" x14ac:dyDescent="0.25">
      <c r="A460" s="2" t="s">
        <v>497</v>
      </c>
      <c r="B460" s="1">
        <v>25</v>
      </c>
      <c r="C460" s="1" t="s">
        <v>28</v>
      </c>
      <c r="D460" s="1" t="s">
        <v>40</v>
      </c>
      <c r="E460" s="1" t="s">
        <v>25</v>
      </c>
      <c r="F460" s="1">
        <v>96128</v>
      </c>
      <c r="G460" s="1">
        <v>4</v>
      </c>
      <c r="H460" s="1">
        <v>3</v>
      </c>
      <c r="I460" s="1">
        <v>5</v>
      </c>
      <c r="J460" s="1" t="s">
        <v>19</v>
      </c>
      <c r="K460" s="1">
        <v>14</v>
      </c>
      <c r="L460" s="1" t="s">
        <v>19</v>
      </c>
      <c r="M460" s="1" t="s">
        <v>30</v>
      </c>
      <c r="N460" s="1">
        <v>56</v>
      </c>
      <c r="O460" s="3" t="s">
        <v>22</v>
      </c>
    </row>
    <row r="461" spans="1:15" x14ac:dyDescent="0.25">
      <c r="A461" s="2" t="s">
        <v>498</v>
      </c>
      <c r="B461" s="1">
        <v>27</v>
      </c>
      <c r="C461" s="1" t="s">
        <v>28</v>
      </c>
      <c r="D461" s="1" t="s">
        <v>29</v>
      </c>
      <c r="E461" s="1" t="s">
        <v>33</v>
      </c>
      <c r="F461" s="1">
        <v>102540</v>
      </c>
      <c r="G461" s="1">
        <v>1</v>
      </c>
      <c r="H461" s="1"/>
      <c r="I461" s="1">
        <v>2</v>
      </c>
      <c r="J461" s="1" t="s">
        <v>19</v>
      </c>
      <c r="K461" s="1">
        <v>18</v>
      </c>
      <c r="L461" s="1" t="s">
        <v>19</v>
      </c>
      <c r="M461" s="1" t="s">
        <v>21</v>
      </c>
      <c r="N461" s="1">
        <v>24</v>
      </c>
      <c r="O461" s="3" t="s">
        <v>42</v>
      </c>
    </row>
    <row r="462" spans="1:15" x14ac:dyDescent="0.25">
      <c r="A462" s="2" t="s">
        <v>499</v>
      </c>
      <c r="B462" s="1">
        <v>55</v>
      </c>
      <c r="C462" s="1" t="s">
        <v>28</v>
      </c>
      <c r="D462" s="1" t="s">
        <v>49</v>
      </c>
      <c r="E462" s="1" t="s">
        <v>25</v>
      </c>
      <c r="F462" s="1">
        <v>93750</v>
      </c>
      <c r="G462" s="1">
        <v>4</v>
      </c>
      <c r="H462" s="1">
        <v>2</v>
      </c>
      <c r="I462" s="1">
        <v>2</v>
      </c>
      <c r="J462" s="1" t="s">
        <v>20</v>
      </c>
      <c r="K462" s="1">
        <v>9</v>
      </c>
      <c r="L462" s="1" t="s">
        <v>20</v>
      </c>
      <c r="M462" s="1" t="s">
        <v>30</v>
      </c>
      <c r="N462" s="1">
        <v>49</v>
      </c>
      <c r="O462" s="3" t="s">
        <v>22</v>
      </c>
    </row>
    <row r="463" spans="1:15" x14ac:dyDescent="0.25">
      <c r="A463" s="2" t="s">
        <v>500</v>
      </c>
      <c r="B463" s="1">
        <v>58</v>
      </c>
      <c r="C463" s="1" t="s">
        <v>16</v>
      </c>
      <c r="D463" s="1" t="s">
        <v>24</v>
      </c>
      <c r="E463" s="1" t="s">
        <v>25</v>
      </c>
      <c r="F463" s="1">
        <v>70978</v>
      </c>
      <c r="G463" s="1">
        <v>2</v>
      </c>
      <c r="H463" s="1">
        <v>3</v>
      </c>
      <c r="I463" s="1">
        <v>1</v>
      </c>
      <c r="J463" s="1" t="s">
        <v>20</v>
      </c>
      <c r="K463" s="1">
        <v>17</v>
      </c>
      <c r="L463" s="1" t="s">
        <v>19</v>
      </c>
      <c r="M463" s="1" t="s">
        <v>21</v>
      </c>
      <c r="N463" s="1">
        <v>76</v>
      </c>
      <c r="O463" s="3" t="s">
        <v>36</v>
      </c>
    </row>
    <row r="464" spans="1:15" x14ac:dyDescent="0.25">
      <c r="A464" s="2" t="s">
        <v>501</v>
      </c>
      <c r="B464" s="1">
        <v>28</v>
      </c>
      <c r="C464" s="1" t="s">
        <v>28</v>
      </c>
      <c r="D464" s="1" t="s">
        <v>40</v>
      </c>
      <c r="E464" s="1" t="s">
        <v>41</v>
      </c>
      <c r="F464" s="1">
        <v>74585</v>
      </c>
      <c r="G464" s="1">
        <v>5</v>
      </c>
      <c r="H464" s="1">
        <v>4</v>
      </c>
      <c r="I464" s="1">
        <v>3</v>
      </c>
      <c r="J464" s="1" t="s">
        <v>20</v>
      </c>
      <c r="K464" s="1">
        <v>12</v>
      </c>
      <c r="L464" s="1" t="s">
        <v>20</v>
      </c>
      <c r="M464" s="1" t="s">
        <v>30</v>
      </c>
      <c r="N464" s="1">
        <v>74</v>
      </c>
      <c r="O464" s="3" t="s">
        <v>44</v>
      </c>
    </row>
    <row r="465" spans="1:15" x14ac:dyDescent="0.25">
      <c r="A465" s="2" t="s">
        <v>502</v>
      </c>
      <c r="B465" s="1"/>
      <c r="C465" s="1" t="s">
        <v>28</v>
      </c>
      <c r="D465" s="1" t="s">
        <v>51</v>
      </c>
      <c r="E465" s="1" t="s">
        <v>41</v>
      </c>
      <c r="F465" s="1">
        <v>90800</v>
      </c>
      <c r="G465" s="1">
        <v>4</v>
      </c>
      <c r="H465" s="1">
        <v>3</v>
      </c>
      <c r="I465" s="1">
        <v>4</v>
      </c>
      <c r="J465" s="1" t="s">
        <v>19</v>
      </c>
      <c r="K465" s="1">
        <v>9</v>
      </c>
      <c r="L465" s="1" t="s">
        <v>19</v>
      </c>
      <c r="M465" s="1" t="s">
        <v>21</v>
      </c>
      <c r="N465" s="1">
        <v>6</v>
      </c>
      <c r="O465" s="3" t="s">
        <v>22</v>
      </c>
    </row>
    <row r="466" spans="1:15" x14ac:dyDescent="0.25">
      <c r="A466" s="2" t="s">
        <v>503</v>
      </c>
      <c r="B466" s="1">
        <v>22</v>
      </c>
      <c r="C466" s="1" t="s">
        <v>16</v>
      </c>
      <c r="D466" s="1" t="s">
        <v>17</v>
      </c>
      <c r="E466" s="1" t="s">
        <v>33</v>
      </c>
      <c r="F466" s="1">
        <v>104235</v>
      </c>
      <c r="G466" s="1">
        <v>4</v>
      </c>
      <c r="H466" s="1">
        <v>2</v>
      </c>
      <c r="I466" s="1">
        <v>1</v>
      </c>
      <c r="J466" s="1" t="s">
        <v>19</v>
      </c>
      <c r="K466" s="1">
        <v>20</v>
      </c>
      <c r="L466" s="1" t="s">
        <v>20</v>
      </c>
      <c r="M466" s="1" t="s">
        <v>30</v>
      </c>
      <c r="N466" s="1">
        <v>59</v>
      </c>
      <c r="O466" s="3" t="s">
        <v>31</v>
      </c>
    </row>
    <row r="467" spans="1:15" x14ac:dyDescent="0.25">
      <c r="A467" s="2" t="s">
        <v>504</v>
      </c>
      <c r="B467" s="1">
        <v>32</v>
      </c>
      <c r="C467" s="1" t="s">
        <v>28</v>
      </c>
      <c r="D467" s="1" t="s">
        <v>24</v>
      </c>
      <c r="E467" s="1" t="s">
        <v>33</v>
      </c>
      <c r="F467" s="1">
        <v>90358</v>
      </c>
      <c r="G467" s="1">
        <v>4</v>
      </c>
      <c r="H467" s="1">
        <v>4</v>
      </c>
      <c r="I467" s="1">
        <v>3</v>
      </c>
      <c r="J467" s="1" t="s">
        <v>19</v>
      </c>
      <c r="K467" s="1">
        <v>5</v>
      </c>
      <c r="L467" s="1" t="s">
        <v>20</v>
      </c>
      <c r="M467" s="1" t="s">
        <v>26</v>
      </c>
      <c r="N467" s="1">
        <v>5</v>
      </c>
      <c r="O467" s="3" t="s">
        <v>31</v>
      </c>
    </row>
    <row r="468" spans="1:15" x14ac:dyDescent="0.25">
      <c r="A468" s="2" t="s">
        <v>505</v>
      </c>
      <c r="B468" s="1">
        <v>52</v>
      </c>
      <c r="C468" s="1" t="s">
        <v>16</v>
      </c>
      <c r="D468" s="1" t="s">
        <v>17</v>
      </c>
      <c r="E468" s="1" t="s">
        <v>25</v>
      </c>
      <c r="F468" s="1">
        <v>53291</v>
      </c>
      <c r="G468" s="1">
        <v>4</v>
      </c>
      <c r="H468" s="1">
        <v>5</v>
      </c>
      <c r="I468" s="1">
        <v>5</v>
      </c>
      <c r="J468" s="1" t="s">
        <v>20</v>
      </c>
      <c r="K468" s="1">
        <v>1</v>
      </c>
      <c r="L468" s="1" t="s">
        <v>19</v>
      </c>
      <c r="M468" s="1" t="s">
        <v>26</v>
      </c>
      <c r="N468" s="1">
        <v>66</v>
      </c>
      <c r="O468" s="3" t="s">
        <v>36</v>
      </c>
    </row>
    <row r="469" spans="1:15" x14ac:dyDescent="0.25">
      <c r="A469" s="2" t="s">
        <v>506</v>
      </c>
      <c r="B469" s="1">
        <v>28</v>
      </c>
      <c r="C469" s="1" t="s">
        <v>28</v>
      </c>
      <c r="D469" s="1" t="s">
        <v>17</v>
      </c>
      <c r="E469" s="1" t="s">
        <v>35</v>
      </c>
      <c r="F469" s="1">
        <v>36623</v>
      </c>
      <c r="G469" s="1">
        <v>5</v>
      </c>
      <c r="H469" s="1">
        <v>3</v>
      </c>
      <c r="I469" s="1"/>
      <c r="J469" s="1" t="s">
        <v>19</v>
      </c>
      <c r="K469" s="1">
        <v>16</v>
      </c>
      <c r="L469" s="1" t="s">
        <v>19</v>
      </c>
      <c r="M469" s="1" t="s">
        <v>21</v>
      </c>
      <c r="N469" s="1">
        <v>65</v>
      </c>
      <c r="O469" s="3" t="s">
        <v>22</v>
      </c>
    </row>
    <row r="470" spans="1:15" x14ac:dyDescent="0.25">
      <c r="A470" s="2" t="s">
        <v>507</v>
      </c>
      <c r="B470" s="1">
        <v>55</v>
      </c>
      <c r="C470" s="1" t="s">
        <v>28</v>
      </c>
      <c r="D470" s="1" t="s">
        <v>24</v>
      </c>
      <c r="E470" s="1" t="s">
        <v>35</v>
      </c>
      <c r="F470" s="1">
        <v>63029</v>
      </c>
      <c r="G470" s="1">
        <v>5</v>
      </c>
      <c r="H470" s="1">
        <v>1</v>
      </c>
      <c r="I470" s="1">
        <v>4</v>
      </c>
      <c r="J470" s="1" t="s">
        <v>20</v>
      </c>
      <c r="K470" s="1">
        <v>16</v>
      </c>
      <c r="L470" s="1" t="s">
        <v>20</v>
      </c>
      <c r="M470" s="1" t="s">
        <v>26</v>
      </c>
      <c r="N470" s="1">
        <v>47</v>
      </c>
      <c r="O470" s="3" t="s">
        <v>42</v>
      </c>
    </row>
    <row r="471" spans="1:15" x14ac:dyDescent="0.25">
      <c r="A471" s="2" t="s">
        <v>508</v>
      </c>
      <c r="B471" s="1">
        <v>43</v>
      </c>
      <c r="C471" s="1" t="s">
        <v>28</v>
      </c>
      <c r="D471" s="1" t="s">
        <v>29</v>
      </c>
      <c r="E471" s="1" t="s">
        <v>41</v>
      </c>
      <c r="F471" s="1">
        <v>22630</v>
      </c>
      <c r="G471" s="1">
        <v>5</v>
      </c>
      <c r="H471" s="1">
        <v>3</v>
      </c>
      <c r="I471" s="1">
        <v>5</v>
      </c>
      <c r="J471" s="1" t="s">
        <v>20</v>
      </c>
      <c r="K471" s="1">
        <v>1</v>
      </c>
      <c r="L471" s="1" t="s">
        <v>20</v>
      </c>
      <c r="M471" s="1" t="s">
        <v>26</v>
      </c>
      <c r="N471" s="1">
        <v>26</v>
      </c>
      <c r="O471" s="3" t="s">
        <v>31</v>
      </c>
    </row>
    <row r="472" spans="1:15" x14ac:dyDescent="0.25">
      <c r="A472" s="2" t="s">
        <v>509</v>
      </c>
      <c r="B472" s="1">
        <v>24</v>
      </c>
      <c r="C472" s="1" t="s">
        <v>28</v>
      </c>
      <c r="D472" s="1" t="s">
        <v>17</v>
      </c>
      <c r="E472" s="1" t="s">
        <v>25</v>
      </c>
      <c r="F472" s="1">
        <v>21578</v>
      </c>
      <c r="G472" s="1">
        <v>3</v>
      </c>
      <c r="H472" s="1">
        <v>4</v>
      </c>
      <c r="I472" s="1">
        <v>1</v>
      </c>
      <c r="J472" s="1" t="s">
        <v>19</v>
      </c>
      <c r="K472" s="1">
        <v>16</v>
      </c>
      <c r="L472" s="1" t="s">
        <v>19</v>
      </c>
      <c r="M472" s="1" t="s">
        <v>30</v>
      </c>
      <c r="N472" s="1">
        <v>37</v>
      </c>
      <c r="O472" s="3" t="s">
        <v>44</v>
      </c>
    </row>
    <row r="473" spans="1:15" x14ac:dyDescent="0.25">
      <c r="A473" s="2" t="s">
        <v>510</v>
      </c>
      <c r="B473" s="1">
        <v>38</v>
      </c>
      <c r="C473" s="1" t="s">
        <v>28</v>
      </c>
      <c r="D473" s="1" t="s">
        <v>29</v>
      </c>
      <c r="E473" s="1" t="s">
        <v>35</v>
      </c>
      <c r="F473" s="1">
        <v>115180</v>
      </c>
      <c r="G473" s="1">
        <v>1</v>
      </c>
      <c r="H473" s="1">
        <v>5</v>
      </c>
      <c r="I473" s="1">
        <v>2</v>
      </c>
      <c r="J473" s="1" t="s">
        <v>19</v>
      </c>
      <c r="K473" s="1">
        <v>14</v>
      </c>
      <c r="L473" s="1" t="s">
        <v>20</v>
      </c>
      <c r="M473" s="1" t="s">
        <v>21</v>
      </c>
      <c r="N473" s="1">
        <v>38</v>
      </c>
      <c r="O473" s="3" t="s">
        <v>44</v>
      </c>
    </row>
    <row r="474" spans="1:15" x14ac:dyDescent="0.25">
      <c r="A474" s="2" t="s">
        <v>511</v>
      </c>
      <c r="B474" s="1">
        <v>52</v>
      </c>
      <c r="C474" s="1" t="s">
        <v>16</v>
      </c>
      <c r="D474" s="1" t="s">
        <v>24</v>
      </c>
      <c r="E474" s="1" t="s">
        <v>35</v>
      </c>
      <c r="F474" s="1">
        <v>62937</v>
      </c>
      <c r="G474" s="1">
        <v>1</v>
      </c>
      <c r="H474" s="1">
        <v>2</v>
      </c>
      <c r="I474" s="1">
        <v>5</v>
      </c>
      <c r="J474" s="1" t="s">
        <v>19</v>
      </c>
      <c r="K474" s="1">
        <v>15</v>
      </c>
      <c r="L474" s="1" t="s">
        <v>20</v>
      </c>
      <c r="M474" s="1" t="s">
        <v>30</v>
      </c>
      <c r="N474" s="1">
        <v>35</v>
      </c>
      <c r="O474" s="3" t="s">
        <v>42</v>
      </c>
    </row>
    <row r="475" spans="1:15" x14ac:dyDescent="0.25">
      <c r="A475" s="2" t="s">
        <v>512</v>
      </c>
      <c r="B475" s="1">
        <v>31</v>
      </c>
      <c r="C475" s="1" t="s">
        <v>16</v>
      </c>
      <c r="D475" s="1" t="s">
        <v>24</v>
      </c>
      <c r="E475" s="1" t="s">
        <v>38</v>
      </c>
      <c r="F475" s="1">
        <v>63229</v>
      </c>
      <c r="G475" s="1">
        <v>1</v>
      </c>
      <c r="H475" s="1">
        <v>3</v>
      </c>
      <c r="I475" s="1">
        <v>1</v>
      </c>
      <c r="J475" s="1" t="s">
        <v>19</v>
      </c>
      <c r="K475" s="1">
        <v>5</v>
      </c>
      <c r="L475" s="1" t="s">
        <v>20</v>
      </c>
      <c r="M475" s="1" t="s">
        <v>30</v>
      </c>
      <c r="N475" s="1">
        <v>65</v>
      </c>
      <c r="O475" s="3" t="s">
        <v>36</v>
      </c>
    </row>
    <row r="476" spans="1:15" x14ac:dyDescent="0.25">
      <c r="A476" s="2" t="s">
        <v>513</v>
      </c>
      <c r="B476" s="1">
        <v>51</v>
      </c>
      <c r="C476" s="1" t="s">
        <v>16</v>
      </c>
      <c r="D476" s="1" t="s">
        <v>49</v>
      </c>
      <c r="E476" s="1" t="s">
        <v>38</v>
      </c>
      <c r="F476" s="1">
        <v>110485</v>
      </c>
      <c r="G476" s="1">
        <v>4</v>
      </c>
      <c r="H476" s="1">
        <v>4</v>
      </c>
      <c r="I476" s="1"/>
      <c r="J476" s="1" t="s">
        <v>19</v>
      </c>
      <c r="K476" s="1">
        <v>16</v>
      </c>
      <c r="L476" s="1" t="s">
        <v>20</v>
      </c>
      <c r="M476" s="1" t="s">
        <v>21</v>
      </c>
      <c r="N476" s="1">
        <v>41</v>
      </c>
      <c r="O476" s="3" t="s">
        <v>42</v>
      </c>
    </row>
    <row r="477" spans="1:15" x14ac:dyDescent="0.25">
      <c r="A477" s="2" t="s">
        <v>514</v>
      </c>
      <c r="B477" s="1">
        <v>45</v>
      </c>
      <c r="C477" s="1" t="s">
        <v>28</v>
      </c>
      <c r="D477" s="1" t="s">
        <v>24</v>
      </c>
      <c r="E477" s="1" t="s">
        <v>38</v>
      </c>
      <c r="F477" s="1"/>
      <c r="G477" s="1">
        <v>1</v>
      </c>
      <c r="H477" s="1">
        <v>5</v>
      </c>
      <c r="I477" s="1">
        <v>3</v>
      </c>
      <c r="J477" s="1" t="s">
        <v>20</v>
      </c>
      <c r="K477" s="1">
        <v>19</v>
      </c>
      <c r="L477" s="1" t="s">
        <v>20</v>
      </c>
      <c r="M477" s="1" t="s">
        <v>30</v>
      </c>
      <c r="N477" s="1">
        <v>39</v>
      </c>
      <c r="O477" s="3" t="s">
        <v>36</v>
      </c>
    </row>
    <row r="478" spans="1:15" x14ac:dyDescent="0.25">
      <c r="A478" s="2" t="s">
        <v>515</v>
      </c>
      <c r="B478" s="1">
        <v>27</v>
      </c>
      <c r="C478" s="1" t="s">
        <v>28</v>
      </c>
      <c r="D478" s="1" t="s">
        <v>17</v>
      </c>
      <c r="E478" s="1" t="s">
        <v>25</v>
      </c>
      <c r="F478" s="1">
        <v>69269</v>
      </c>
      <c r="G478" s="1">
        <v>4</v>
      </c>
      <c r="H478" s="1">
        <v>2</v>
      </c>
      <c r="I478" s="1">
        <v>5</v>
      </c>
      <c r="J478" s="1" t="s">
        <v>19</v>
      </c>
      <c r="K478" s="1">
        <v>16</v>
      </c>
      <c r="L478" s="1" t="s">
        <v>20</v>
      </c>
      <c r="M478" s="1" t="s">
        <v>26</v>
      </c>
      <c r="N478" s="1">
        <v>28</v>
      </c>
      <c r="O478" s="3" t="s">
        <v>36</v>
      </c>
    </row>
    <row r="479" spans="1:15" x14ac:dyDescent="0.25">
      <c r="A479" s="2" t="s">
        <v>516</v>
      </c>
      <c r="B479" s="1">
        <v>56</v>
      </c>
      <c r="C479" s="1" t="s">
        <v>16</v>
      </c>
      <c r="D479" s="1" t="s">
        <v>17</v>
      </c>
      <c r="E479" s="1" t="s">
        <v>35</v>
      </c>
      <c r="F479" s="1">
        <v>26906</v>
      </c>
      <c r="G479" s="1">
        <v>1</v>
      </c>
      <c r="H479" s="1">
        <v>4</v>
      </c>
      <c r="I479" s="1">
        <v>1</v>
      </c>
      <c r="J479" s="1" t="s">
        <v>19</v>
      </c>
      <c r="K479" s="1">
        <v>14</v>
      </c>
      <c r="L479" s="1" t="s">
        <v>20</v>
      </c>
      <c r="M479" s="1" t="s">
        <v>21</v>
      </c>
      <c r="N479" s="1">
        <v>41</v>
      </c>
      <c r="O479" s="3" t="s">
        <v>36</v>
      </c>
    </row>
    <row r="480" spans="1:15" x14ac:dyDescent="0.25">
      <c r="A480" s="2" t="s">
        <v>517</v>
      </c>
      <c r="B480" s="1">
        <v>33</v>
      </c>
      <c r="C480" s="1" t="s">
        <v>16</v>
      </c>
      <c r="D480" s="1" t="s">
        <v>40</v>
      </c>
      <c r="E480" s="1" t="s">
        <v>25</v>
      </c>
      <c r="F480" s="1">
        <v>30050</v>
      </c>
      <c r="G480" s="1">
        <v>1</v>
      </c>
      <c r="H480" s="1">
        <v>5</v>
      </c>
      <c r="I480" s="1">
        <v>2</v>
      </c>
      <c r="J480" s="1" t="s">
        <v>19</v>
      </c>
      <c r="K480" s="1">
        <v>3</v>
      </c>
      <c r="L480" s="1" t="s">
        <v>19</v>
      </c>
      <c r="M480" s="1" t="s">
        <v>26</v>
      </c>
      <c r="N480" s="1">
        <v>21</v>
      </c>
      <c r="O480" s="3" t="s">
        <v>42</v>
      </c>
    </row>
    <row r="481" spans="1:15" x14ac:dyDescent="0.25">
      <c r="A481" s="2" t="s">
        <v>518</v>
      </c>
      <c r="B481" s="1">
        <v>57</v>
      </c>
      <c r="C481" s="1" t="s">
        <v>16</v>
      </c>
      <c r="D481" s="1" t="s">
        <v>40</v>
      </c>
      <c r="E481" s="1" t="s">
        <v>38</v>
      </c>
      <c r="F481" s="1">
        <v>42151</v>
      </c>
      <c r="G481" s="1">
        <v>3</v>
      </c>
      <c r="H481" s="1">
        <v>3</v>
      </c>
      <c r="I481" s="1">
        <v>4</v>
      </c>
      <c r="J481" s="1" t="s">
        <v>19</v>
      </c>
      <c r="K481" s="1">
        <v>20</v>
      </c>
      <c r="L481" s="1" t="s">
        <v>20</v>
      </c>
      <c r="M481" s="1" t="s">
        <v>30</v>
      </c>
      <c r="N481" s="1">
        <v>59</v>
      </c>
      <c r="O481" s="3" t="s">
        <v>36</v>
      </c>
    </row>
    <row r="482" spans="1:15" x14ac:dyDescent="0.25">
      <c r="A482" s="2" t="s">
        <v>519</v>
      </c>
      <c r="B482" s="1">
        <v>37</v>
      </c>
      <c r="C482" s="1" t="s">
        <v>16</v>
      </c>
      <c r="D482" s="1" t="s">
        <v>40</v>
      </c>
      <c r="E482" s="1" t="s">
        <v>18</v>
      </c>
      <c r="F482" s="1">
        <v>119856</v>
      </c>
      <c r="G482" s="1">
        <v>1</v>
      </c>
      <c r="H482" s="1">
        <v>4</v>
      </c>
      <c r="I482" s="1">
        <v>4</v>
      </c>
      <c r="J482" s="1" t="s">
        <v>20</v>
      </c>
      <c r="K482" s="1">
        <v>1</v>
      </c>
      <c r="L482" s="1" t="s">
        <v>20</v>
      </c>
      <c r="M482" s="1" t="s">
        <v>30</v>
      </c>
      <c r="N482" s="1">
        <v>27</v>
      </c>
      <c r="O482" s="3" t="s">
        <v>42</v>
      </c>
    </row>
    <row r="483" spans="1:15" x14ac:dyDescent="0.25">
      <c r="A483" s="2" t="s">
        <v>520</v>
      </c>
      <c r="B483" s="1">
        <v>25</v>
      </c>
      <c r="C483" s="1" t="s">
        <v>28</v>
      </c>
      <c r="D483" s="1" t="s">
        <v>51</v>
      </c>
      <c r="E483" s="1" t="s">
        <v>25</v>
      </c>
      <c r="F483" s="1">
        <v>69463</v>
      </c>
      <c r="G483" s="1">
        <v>2</v>
      </c>
      <c r="H483" s="1">
        <v>4</v>
      </c>
      <c r="I483" s="1">
        <v>1</v>
      </c>
      <c r="J483" s="1" t="s">
        <v>19</v>
      </c>
      <c r="K483" s="1">
        <v>17</v>
      </c>
      <c r="L483" s="1" t="s">
        <v>20</v>
      </c>
      <c r="M483" s="1" t="s">
        <v>21</v>
      </c>
      <c r="N483" s="1">
        <v>18</v>
      </c>
      <c r="O483" s="3" t="s">
        <v>42</v>
      </c>
    </row>
    <row r="484" spans="1:15" x14ac:dyDescent="0.25">
      <c r="A484" s="2" t="s">
        <v>521</v>
      </c>
      <c r="B484" s="1">
        <v>37</v>
      </c>
      <c r="C484" s="1" t="s">
        <v>16</v>
      </c>
      <c r="D484" s="1" t="s">
        <v>40</v>
      </c>
      <c r="E484" s="1" t="s">
        <v>35</v>
      </c>
      <c r="F484" s="1">
        <v>27229</v>
      </c>
      <c r="G484" s="1">
        <v>5</v>
      </c>
      <c r="H484" s="1">
        <v>3</v>
      </c>
      <c r="I484" s="1">
        <v>4</v>
      </c>
      <c r="J484" s="1" t="s">
        <v>19</v>
      </c>
      <c r="K484" s="1">
        <v>15</v>
      </c>
      <c r="L484" s="1" t="s">
        <v>19</v>
      </c>
      <c r="M484" s="1" t="s">
        <v>26</v>
      </c>
      <c r="N484" s="1">
        <v>5</v>
      </c>
      <c r="O484" s="3" t="s">
        <v>22</v>
      </c>
    </row>
    <row r="485" spans="1:15" x14ac:dyDescent="0.25">
      <c r="A485" s="2" t="s">
        <v>522</v>
      </c>
      <c r="B485" s="1">
        <v>45</v>
      </c>
      <c r="C485" s="1" t="s">
        <v>28</v>
      </c>
      <c r="D485" s="1" t="s">
        <v>51</v>
      </c>
      <c r="E485" s="1" t="s">
        <v>38</v>
      </c>
      <c r="F485" s="1">
        <v>61231</v>
      </c>
      <c r="G485" s="1">
        <v>4</v>
      </c>
      <c r="H485" s="1">
        <v>5</v>
      </c>
      <c r="I485" s="1">
        <v>1</v>
      </c>
      <c r="J485" s="1" t="s">
        <v>20</v>
      </c>
      <c r="K485" s="1">
        <v>15</v>
      </c>
      <c r="L485" s="1" t="s">
        <v>20</v>
      </c>
      <c r="M485" s="1" t="s">
        <v>30</v>
      </c>
      <c r="N485" s="1">
        <v>13</v>
      </c>
      <c r="O485" s="3" t="s">
        <v>31</v>
      </c>
    </row>
    <row r="486" spans="1:15" x14ac:dyDescent="0.25">
      <c r="A486" s="2" t="s">
        <v>523</v>
      </c>
      <c r="B486" s="1">
        <v>35</v>
      </c>
      <c r="C486" s="1" t="s">
        <v>16</v>
      </c>
      <c r="D486" s="1" t="s">
        <v>49</v>
      </c>
      <c r="E486" s="1" t="s">
        <v>38</v>
      </c>
      <c r="F486" s="1">
        <v>81185</v>
      </c>
      <c r="G486" s="1">
        <v>1</v>
      </c>
      <c r="H486" s="1">
        <v>5</v>
      </c>
      <c r="I486" s="1"/>
      <c r="J486" s="1" t="s">
        <v>20</v>
      </c>
      <c r="K486" s="1">
        <v>10</v>
      </c>
      <c r="L486" s="1" t="s">
        <v>20</v>
      </c>
      <c r="M486" s="1" t="s">
        <v>30</v>
      </c>
      <c r="N486" s="1">
        <v>12</v>
      </c>
      <c r="O486" s="3" t="s">
        <v>22</v>
      </c>
    </row>
    <row r="487" spans="1:15" x14ac:dyDescent="0.25">
      <c r="A487" s="2" t="s">
        <v>524</v>
      </c>
      <c r="B487" s="1">
        <v>44</v>
      </c>
      <c r="C487" s="1" t="s">
        <v>28</v>
      </c>
      <c r="D487" s="1" t="s">
        <v>40</v>
      </c>
      <c r="E487" s="1" t="s">
        <v>33</v>
      </c>
      <c r="F487" s="1">
        <v>117674</v>
      </c>
      <c r="G487" s="1">
        <v>3</v>
      </c>
      <c r="H487" s="1">
        <v>2</v>
      </c>
      <c r="I487" s="1">
        <v>2</v>
      </c>
      <c r="J487" s="1" t="s">
        <v>19</v>
      </c>
      <c r="K487" s="1">
        <v>12</v>
      </c>
      <c r="L487" s="1" t="s">
        <v>19</v>
      </c>
      <c r="M487" s="1" t="s">
        <v>30</v>
      </c>
      <c r="N487" s="1">
        <v>54</v>
      </c>
      <c r="O487" s="3" t="s">
        <v>22</v>
      </c>
    </row>
    <row r="488" spans="1:15" x14ac:dyDescent="0.25">
      <c r="A488" s="2" t="s">
        <v>525</v>
      </c>
      <c r="B488" s="1">
        <v>43</v>
      </c>
      <c r="C488" s="1" t="s">
        <v>28</v>
      </c>
      <c r="D488" s="1" t="s">
        <v>40</v>
      </c>
      <c r="E488" s="1" t="s">
        <v>38</v>
      </c>
      <c r="F488" s="1">
        <v>75407</v>
      </c>
      <c r="G488" s="1">
        <v>2</v>
      </c>
      <c r="H488" s="1">
        <v>2</v>
      </c>
      <c r="I488" s="1">
        <v>1</v>
      </c>
      <c r="J488" s="1" t="s">
        <v>19</v>
      </c>
      <c r="K488" s="1">
        <v>0</v>
      </c>
      <c r="L488" s="1" t="s">
        <v>19</v>
      </c>
      <c r="M488" s="1" t="s">
        <v>30</v>
      </c>
      <c r="N488" s="1">
        <v>54</v>
      </c>
      <c r="O488" s="3" t="s">
        <v>22</v>
      </c>
    </row>
    <row r="489" spans="1:15" x14ac:dyDescent="0.25">
      <c r="A489" s="2" t="s">
        <v>526</v>
      </c>
      <c r="B489" s="1"/>
      <c r="C489" s="1" t="s">
        <v>28</v>
      </c>
      <c r="D489" s="1" t="s">
        <v>49</v>
      </c>
      <c r="E489" s="1" t="s">
        <v>25</v>
      </c>
      <c r="F489" s="1">
        <v>76891</v>
      </c>
      <c r="G489" s="1">
        <v>1</v>
      </c>
      <c r="H489" s="1">
        <v>1</v>
      </c>
      <c r="I489" s="1">
        <v>3</v>
      </c>
      <c r="J489" s="1" t="s">
        <v>19</v>
      </c>
      <c r="K489" s="1">
        <v>10</v>
      </c>
      <c r="L489" s="1" t="s">
        <v>19</v>
      </c>
      <c r="M489" s="1" t="s">
        <v>30</v>
      </c>
      <c r="N489" s="1">
        <v>20</v>
      </c>
      <c r="O489" s="3" t="s">
        <v>44</v>
      </c>
    </row>
    <row r="490" spans="1:15" x14ac:dyDescent="0.25">
      <c r="A490" s="2" t="s">
        <v>527</v>
      </c>
      <c r="B490" s="1">
        <v>54</v>
      </c>
      <c r="C490" s="1" t="s">
        <v>28</v>
      </c>
      <c r="D490" s="1" t="s">
        <v>17</v>
      </c>
      <c r="E490" s="1" t="s">
        <v>25</v>
      </c>
      <c r="F490" s="1">
        <v>37523</v>
      </c>
      <c r="G490" s="1">
        <v>5</v>
      </c>
      <c r="H490" s="1">
        <v>2</v>
      </c>
      <c r="I490" s="1">
        <v>1</v>
      </c>
      <c r="J490" s="1" t="s">
        <v>19</v>
      </c>
      <c r="K490" s="1">
        <v>4</v>
      </c>
      <c r="L490" s="1" t="s">
        <v>20</v>
      </c>
      <c r="M490" s="1" t="s">
        <v>26</v>
      </c>
      <c r="N490" s="1">
        <v>7</v>
      </c>
      <c r="O490" s="3" t="s">
        <v>42</v>
      </c>
    </row>
    <row r="491" spans="1:15" x14ac:dyDescent="0.25">
      <c r="A491" s="2" t="s">
        <v>528</v>
      </c>
      <c r="B491" s="1">
        <v>23</v>
      </c>
      <c r="C491" s="1" t="s">
        <v>16</v>
      </c>
      <c r="D491" s="1" t="s">
        <v>17</v>
      </c>
      <c r="E491" s="1" t="s">
        <v>38</v>
      </c>
      <c r="F491" s="1">
        <v>35109</v>
      </c>
      <c r="G491" s="1">
        <v>1</v>
      </c>
      <c r="H491" s="1">
        <v>2</v>
      </c>
      <c r="I491" s="1">
        <v>1</v>
      </c>
      <c r="J491" s="1" t="s">
        <v>20</v>
      </c>
      <c r="K491" s="1">
        <v>3</v>
      </c>
      <c r="L491" s="1" t="s">
        <v>20</v>
      </c>
      <c r="M491" s="1" t="s">
        <v>26</v>
      </c>
      <c r="N491" s="1">
        <v>26</v>
      </c>
      <c r="O491" s="3" t="s">
        <v>31</v>
      </c>
    </row>
    <row r="492" spans="1:15" x14ac:dyDescent="0.25">
      <c r="A492" s="2" t="s">
        <v>529</v>
      </c>
      <c r="B492" s="1">
        <v>25</v>
      </c>
      <c r="C492" s="1" t="s">
        <v>16</v>
      </c>
      <c r="D492" s="1" t="s">
        <v>40</v>
      </c>
      <c r="E492" s="1" t="s">
        <v>33</v>
      </c>
      <c r="F492" s="1">
        <v>95984</v>
      </c>
      <c r="G492" s="1">
        <v>5</v>
      </c>
      <c r="H492" s="1">
        <v>2</v>
      </c>
      <c r="I492" s="1">
        <v>1</v>
      </c>
      <c r="J492" s="1" t="s">
        <v>19</v>
      </c>
      <c r="K492" s="1">
        <v>13</v>
      </c>
      <c r="L492" s="1" t="s">
        <v>20</v>
      </c>
      <c r="M492" s="1" t="s">
        <v>26</v>
      </c>
      <c r="N492" s="1">
        <v>56</v>
      </c>
      <c r="O492" s="3" t="s">
        <v>36</v>
      </c>
    </row>
    <row r="493" spans="1:15" x14ac:dyDescent="0.25">
      <c r="A493" s="2" t="s">
        <v>530</v>
      </c>
      <c r="B493" s="1">
        <v>28</v>
      </c>
      <c r="C493" s="1" t="s">
        <v>16</v>
      </c>
      <c r="D493" s="1" t="s">
        <v>29</v>
      </c>
      <c r="E493" s="1" t="s">
        <v>41</v>
      </c>
      <c r="F493" s="1">
        <v>118168</v>
      </c>
      <c r="G493" s="1">
        <v>1</v>
      </c>
      <c r="H493" s="1">
        <v>5</v>
      </c>
      <c r="I493" s="1">
        <v>2</v>
      </c>
      <c r="J493" s="1" t="s">
        <v>20</v>
      </c>
      <c r="K493" s="1">
        <v>2</v>
      </c>
      <c r="L493" s="1" t="s">
        <v>19</v>
      </c>
      <c r="M493" s="1" t="s">
        <v>30</v>
      </c>
      <c r="N493" s="1">
        <v>23</v>
      </c>
      <c r="O493" s="3" t="s">
        <v>42</v>
      </c>
    </row>
    <row r="494" spans="1:15" x14ac:dyDescent="0.25">
      <c r="A494" s="2" t="s">
        <v>531</v>
      </c>
      <c r="B494" s="1">
        <v>31</v>
      </c>
      <c r="C494" s="1" t="s">
        <v>28</v>
      </c>
      <c r="D494" s="1" t="s">
        <v>24</v>
      </c>
      <c r="E494" s="1" t="s">
        <v>41</v>
      </c>
      <c r="F494" s="1">
        <v>75496</v>
      </c>
      <c r="G494" s="1">
        <v>2</v>
      </c>
      <c r="H494" s="1">
        <v>5</v>
      </c>
      <c r="I494" s="1">
        <v>1</v>
      </c>
      <c r="J494" s="1" t="s">
        <v>19</v>
      </c>
      <c r="K494" s="1">
        <v>3</v>
      </c>
      <c r="L494" s="1" t="s">
        <v>20</v>
      </c>
      <c r="M494" s="1" t="s">
        <v>21</v>
      </c>
      <c r="N494" s="1">
        <v>7</v>
      </c>
      <c r="O494" s="3" t="s">
        <v>42</v>
      </c>
    </row>
    <row r="495" spans="1:15" x14ac:dyDescent="0.25">
      <c r="A495" s="2" t="s">
        <v>532</v>
      </c>
      <c r="B495" s="1">
        <v>26</v>
      </c>
      <c r="C495" s="1" t="s">
        <v>16</v>
      </c>
      <c r="D495" s="1" t="s">
        <v>40</v>
      </c>
      <c r="E495" s="1" t="s">
        <v>41</v>
      </c>
      <c r="F495" s="1">
        <v>29683</v>
      </c>
      <c r="G495" s="1">
        <v>5</v>
      </c>
      <c r="H495" s="1">
        <v>3</v>
      </c>
      <c r="I495" s="1">
        <v>4</v>
      </c>
      <c r="J495" s="1" t="s">
        <v>20</v>
      </c>
      <c r="K495" s="1">
        <v>4</v>
      </c>
      <c r="L495" s="1" t="s">
        <v>19</v>
      </c>
      <c r="M495" s="1" t="s">
        <v>21</v>
      </c>
      <c r="N495" s="1">
        <v>39</v>
      </c>
      <c r="O495" s="3" t="s">
        <v>31</v>
      </c>
    </row>
    <row r="496" spans="1:15" x14ac:dyDescent="0.25">
      <c r="A496" s="2" t="s">
        <v>533</v>
      </c>
      <c r="B496" s="1">
        <v>49</v>
      </c>
      <c r="C496" s="1" t="s">
        <v>28</v>
      </c>
      <c r="D496" s="1" t="s">
        <v>51</v>
      </c>
      <c r="E496" s="1" t="s">
        <v>41</v>
      </c>
      <c r="F496" s="1">
        <v>98024</v>
      </c>
      <c r="G496" s="1">
        <v>1</v>
      </c>
      <c r="H496" s="1">
        <v>5</v>
      </c>
      <c r="I496" s="1">
        <v>2</v>
      </c>
      <c r="J496" s="1" t="s">
        <v>20</v>
      </c>
      <c r="K496" s="1">
        <v>19</v>
      </c>
      <c r="L496" s="1" t="s">
        <v>19</v>
      </c>
      <c r="M496" s="1" t="s">
        <v>26</v>
      </c>
      <c r="N496" s="1">
        <v>43</v>
      </c>
      <c r="O496" s="3" t="s">
        <v>36</v>
      </c>
    </row>
    <row r="497" spans="1:15" x14ac:dyDescent="0.25">
      <c r="A497" s="2" t="s">
        <v>534</v>
      </c>
      <c r="B497" s="1">
        <v>47</v>
      </c>
      <c r="C497" s="1" t="s">
        <v>16</v>
      </c>
      <c r="D497" s="1" t="s">
        <v>24</v>
      </c>
      <c r="E497" s="1" t="s">
        <v>41</v>
      </c>
      <c r="F497" s="1">
        <v>43153</v>
      </c>
      <c r="G497" s="1">
        <v>1</v>
      </c>
      <c r="H497" s="1">
        <v>5</v>
      </c>
      <c r="I497" s="1">
        <v>1</v>
      </c>
      <c r="J497" s="1" t="s">
        <v>20</v>
      </c>
      <c r="K497" s="1">
        <v>17</v>
      </c>
      <c r="L497" s="1" t="s">
        <v>19</v>
      </c>
      <c r="M497" s="1" t="s">
        <v>30</v>
      </c>
      <c r="N497" s="1">
        <v>31</v>
      </c>
      <c r="O497" s="3" t="s">
        <v>36</v>
      </c>
    </row>
    <row r="498" spans="1:15" x14ac:dyDescent="0.25">
      <c r="A498" s="2" t="s">
        <v>535</v>
      </c>
      <c r="B498" s="1"/>
      <c r="C498" s="1" t="s">
        <v>16</v>
      </c>
      <c r="D498" s="1" t="s">
        <v>40</v>
      </c>
      <c r="E498" s="1" t="s">
        <v>41</v>
      </c>
      <c r="F498" s="1">
        <v>107816</v>
      </c>
      <c r="G498" s="1">
        <v>4</v>
      </c>
      <c r="H498" s="1">
        <v>4</v>
      </c>
      <c r="I498" s="1">
        <v>2</v>
      </c>
      <c r="J498" s="1" t="s">
        <v>19</v>
      </c>
      <c r="K498" s="1">
        <v>1</v>
      </c>
      <c r="L498" s="1" t="s">
        <v>19</v>
      </c>
      <c r="M498" s="1" t="s">
        <v>26</v>
      </c>
      <c r="N498" s="1">
        <v>51</v>
      </c>
      <c r="O498" s="3" t="s">
        <v>36</v>
      </c>
    </row>
    <row r="499" spans="1:15" x14ac:dyDescent="0.25">
      <c r="A499" s="2" t="s">
        <v>536</v>
      </c>
      <c r="B499" s="1">
        <v>34</v>
      </c>
      <c r="C499" s="1" t="s">
        <v>28</v>
      </c>
      <c r="D499" s="1" t="s">
        <v>29</v>
      </c>
      <c r="E499" s="1" t="s">
        <v>18</v>
      </c>
      <c r="F499" s="1">
        <v>98847</v>
      </c>
      <c r="G499" s="1">
        <v>4</v>
      </c>
      <c r="H499" s="1">
        <v>1</v>
      </c>
      <c r="I499" s="1">
        <v>1</v>
      </c>
      <c r="J499" s="1" t="s">
        <v>19</v>
      </c>
      <c r="K499" s="1">
        <v>17</v>
      </c>
      <c r="L499" s="1" t="s">
        <v>19</v>
      </c>
      <c r="M499" s="1" t="s">
        <v>21</v>
      </c>
      <c r="N499" s="1">
        <v>8</v>
      </c>
      <c r="O499" s="3" t="s">
        <v>42</v>
      </c>
    </row>
    <row r="500" spans="1:15" x14ac:dyDescent="0.25">
      <c r="A500" s="2" t="s">
        <v>537</v>
      </c>
      <c r="B500" s="1">
        <v>53</v>
      </c>
      <c r="C500" s="1" t="s">
        <v>16</v>
      </c>
      <c r="D500" s="1" t="s">
        <v>40</v>
      </c>
      <c r="E500" s="1" t="s">
        <v>41</v>
      </c>
      <c r="F500" s="1">
        <v>112555</v>
      </c>
      <c r="G500" s="1">
        <v>4</v>
      </c>
      <c r="H500" s="1">
        <v>5</v>
      </c>
      <c r="I500" s="1">
        <v>5</v>
      </c>
      <c r="J500" s="1" t="s">
        <v>20</v>
      </c>
      <c r="K500" s="1">
        <v>13</v>
      </c>
      <c r="L500" s="1" t="s">
        <v>19</v>
      </c>
      <c r="M500" s="1" t="s">
        <v>26</v>
      </c>
      <c r="N500" s="1">
        <v>46</v>
      </c>
      <c r="O500" s="3" t="s">
        <v>44</v>
      </c>
    </row>
    <row r="501" spans="1:15" x14ac:dyDescent="0.25">
      <c r="A501" s="4" t="s">
        <v>538</v>
      </c>
      <c r="B501" s="5">
        <v>28</v>
      </c>
      <c r="C501" s="5" t="s">
        <v>28</v>
      </c>
      <c r="D501" s="5" t="s">
        <v>51</v>
      </c>
      <c r="E501" s="5" t="s">
        <v>35</v>
      </c>
      <c r="F501" s="5"/>
      <c r="G501" s="5">
        <v>4</v>
      </c>
      <c r="H501" s="5">
        <v>2</v>
      </c>
      <c r="I501" s="5">
        <v>4</v>
      </c>
      <c r="J501" s="5" t="s">
        <v>19</v>
      </c>
      <c r="K501" s="5">
        <v>2</v>
      </c>
      <c r="L501" s="5" t="s">
        <v>20</v>
      </c>
      <c r="M501" s="5" t="s">
        <v>26</v>
      </c>
      <c r="N501" s="5">
        <v>67</v>
      </c>
      <c r="O501" s="6" t="s">
        <v>22</v>
      </c>
    </row>
    <row r="503" spans="1:15" x14ac:dyDescent="0.25">
      <c r="B503">
        <v>20</v>
      </c>
      <c r="F503">
        <v>19</v>
      </c>
      <c r="G503">
        <v>16</v>
      </c>
      <c r="H503">
        <v>13</v>
      </c>
      <c r="I503">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9142-6420-4889-9B22-A373A2C18974}">
  <dimension ref="A1:X506"/>
  <sheetViews>
    <sheetView topLeftCell="D493" workbookViewId="0">
      <selection activeCell="I508" sqref="I508"/>
    </sheetView>
  </sheetViews>
  <sheetFormatPr defaultRowHeight="15" x14ac:dyDescent="0.25"/>
  <cols>
    <col min="1" max="1" width="15.85546875" customWidth="1"/>
    <col min="3" max="3" width="9.140625" style="16"/>
    <col min="4" max="4" width="9.85546875" customWidth="1"/>
    <col min="5" max="5" width="16" customWidth="1"/>
    <col min="6" max="7" width="16.85546875" customWidth="1"/>
    <col min="8" max="8" width="17.28515625" customWidth="1"/>
    <col min="9" max="9" width="19.42578125" customWidth="1"/>
    <col min="10" max="10" width="17.42578125" customWidth="1"/>
    <col min="11" max="11" width="17.42578125" style="16" customWidth="1"/>
    <col min="12" max="13" width="20.140625" customWidth="1"/>
    <col min="14" max="15" width="18.140625" customWidth="1"/>
    <col min="16" max="16" width="11.5703125" customWidth="1"/>
    <col min="17" max="17" width="18.28515625" customWidth="1"/>
    <col min="18" max="18" width="10.7109375" customWidth="1"/>
    <col min="19" max="19" width="16" customWidth="1"/>
    <col min="20" max="20" width="15.42578125" customWidth="1"/>
    <col min="21" max="21" width="15" customWidth="1"/>
  </cols>
  <sheetData>
    <row r="1" spans="1:24" s="10" customFormat="1" x14ac:dyDescent="0.25">
      <c r="A1" s="7" t="s">
        <v>0</v>
      </c>
      <c r="B1" s="8" t="s">
        <v>1</v>
      </c>
      <c r="C1" s="11" t="s">
        <v>539</v>
      </c>
      <c r="D1" s="8" t="s">
        <v>2</v>
      </c>
      <c r="E1" s="8" t="s">
        <v>3</v>
      </c>
      <c r="F1" s="8" t="s">
        <v>4</v>
      </c>
      <c r="G1" s="11" t="s">
        <v>553</v>
      </c>
      <c r="H1" s="8" t="s">
        <v>5</v>
      </c>
      <c r="I1" s="11" t="s">
        <v>586</v>
      </c>
      <c r="J1" s="8" t="s">
        <v>6</v>
      </c>
      <c r="K1" s="11" t="s">
        <v>542</v>
      </c>
      <c r="L1" s="8" t="s">
        <v>7</v>
      </c>
      <c r="M1" s="11" t="s">
        <v>544</v>
      </c>
      <c r="N1" s="8" t="s">
        <v>8</v>
      </c>
      <c r="O1" s="11" t="s">
        <v>545</v>
      </c>
      <c r="P1" s="8" t="s">
        <v>9</v>
      </c>
      <c r="Q1" s="8" t="s">
        <v>10</v>
      </c>
      <c r="R1" s="8" t="s">
        <v>11</v>
      </c>
      <c r="S1" s="8" t="s">
        <v>12</v>
      </c>
      <c r="T1" s="8" t="s">
        <v>13</v>
      </c>
      <c r="U1" s="9" t="s">
        <v>14</v>
      </c>
      <c r="V1" s="18"/>
      <c r="W1" s="18"/>
      <c r="X1" s="18"/>
    </row>
    <row r="2" spans="1:24" x14ac:dyDescent="0.25">
      <c r="A2" s="2" t="s">
        <v>15</v>
      </c>
      <c r="B2" s="1">
        <v>28</v>
      </c>
      <c r="C2" s="14">
        <f t="shared" ref="C2:C65" si="0">IF(B2="",39,B2)</f>
        <v>28</v>
      </c>
      <c r="D2" s="1" t="s">
        <v>16</v>
      </c>
      <c r="E2" s="1" t="s">
        <v>17</v>
      </c>
      <c r="F2" s="1" t="s">
        <v>18</v>
      </c>
      <c r="G2" s="1" t="str">
        <f t="shared" ref="G2:G65" si="1">PROPER(F2)</f>
        <v>Analyst</v>
      </c>
      <c r="H2" s="1">
        <v>50098</v>
      </c>
      <c r="I2" s="1">
        <f t="shared" ref="I2:I65" si="2">IF(H2="",68925,H2)</f>
        <v>50098</v>
      </c>
      <c r="J2" s="1">
        <v>2</v>
      </c>
      <c r="K2" s="14">
        <f t="shared" ref="K2:K65" si="3">IF(J2="",3,J2)</f>
        <v>2</v>
      </c>
      <c r="L2" s="1">
        <v>2</v>
      </c>
      <c r="M2" s="1">
        <f t="shared" ref="M2:M65" si="4">IF(L2="",3,L2)</f>
        <v>2</v>
      </c>
      <c r="N2" s="1">
        <v>1</v>
      </c>
      <c r="O2" s="1">
        <f t="shared" ref="O2:O65" si="5">IF(N2="",3,N2)</f>
        <v>1</v>
      </c>
      <c r="P2" s="1" t="s">
        <v>19</v>
      </c>
      <c r="Q2" s="1">
        <v>18</v>
      </c>
      <c r="R2" s="1" t="s">
        <v>20</v>
      </c>
      <c r="S2" s="1" t="s">
        <v>21</v>
      </c>
      <c r="T2" s="1">
        <v>8</v>
      </c>
      <c r="U2" s="3" t="s">
        <v>22</v>
      </c>
    </row>
    <row r="3" spans="1:24" x14ac:dyDescent="0.25">
      <c r="A3" s="2" t="s">
        <v>23</v>
      </c>
      <c r="B3" s="1">
        <v>34</v>
      </c>
      <c r="C3" s="14">
        <f t="shared" si="0"/>
        <v>34</v>
      </c>
      <c r="D3" s="1" t="s">
        <v>16</v>
      </c>
      <c r="E3" s="1" t="s">
        <v>24</v>
      </c>
      <c r="F3" s="1" t="s">
        <v>25</v>
      </c>
      <c r="G3" s="1" t="str">
        <f t="shared" si="1"/>
        <v>Associate</v>
      </c>
      <c r="H3" s="1">
        <v>21478</v>
      </c>
      <c r="I3" s="1">
        <f t="shared" si="2"/>
        <v>21478</v>
      </c>
      <c r="J3" s="1">
        <v>5</v>
      </c>
      <c r="K3" s="14">
        <f t="shared" si="3"/>
        <v>5</v>
      </c>
      <c r="L3" s="1">
        <v>2</v>
      </c>
      <c r="M3" s="1">
        <f t="shared" si="4"/>
        <v>2</v>
      </c>
      <c r="N3" s="1">
        <v>5</v>
      </c>
      <c r="O3" s="1">
        <f t="shared" si="5"/>
        <v>5</v>
      </c>
      <c r="P3" s="1" t="s">
        <v>20</v>
      </c>
      <c r="Q3" s="1">
        <v>7</v>
      </c>
      <c r="R3" s="1" t="s">
        <v>20</v>
      </c>
      <c r="S3" s="1" t="s">
        <v>26</v>
      </c>
      <c r="T3" s="1">
        <v>40</v>
      </c>
      <c r="U3" s="3" t="s">
        <v>22</v>
      </c>
    </row>
    <row r="4" spans="1:24" x14ac:dyDescent="0.25">
      <c r="A4" s="2" t="s">
        <v>27</v>
      </c>
      <c r="B4" s="1">
        <v>31</v>
      </c>
      <c r="C4" s="14">
        <f t="shared" si="0"/>
        <v>31</v>
      </c>
      <c r="D4" s="1" t="s">
        <v>28</v>
      </c>
      <c r="E4" s="1" t="s">
        <v>29</v>
      </c>
      <c r="F4" s="1" t="s">
        <v>18</v>
      </c>
      <c r="G4" s="1" t="str">
        <f t="shared" si="1"/>
        <v>Analyst</v>
      </c>
      <c r="H4" s="1">
        <v>38379</v>
      </c>
      <c r="I4" s="1">
        <f t="shared" si="2"/>
        <v>38379</v>
      </c>
      <c r="J4" s="1">
        <v>2</v>
      </c>
      <c r="K4" s="14">
        <f t="shared" si="3"/>
        <v>2</v>
      </c>
      <c r="L4" s="1"/>
      <c r="M4" s="1">
        <f t="shared" si="4"/>
        <v>3</v>
      </c>
      <c r="N4" s="1">
        <v>1</v>
      </c>
      <c r="O4" s="1">
        <f t="shared" si="5"/>
        <v>1</v>
      </c>
      <c r="P4" s="1" t="s">
        <v>19</v>
      </c>
      <c r="Q4" s="1">
        <v>12</v>
      </c>
      <c r="R4" s="1" t="s">
        <v>19</v>
      </c>
      <c r="S4" s="1" t="s">
        <v>30</v>
      </c>
      <c r="T4" s="1">
        <v>49</v>
      </c>
      <c r="U4" s="3" t="s">
        <v>31</v>
      </c>
    </row>
    <row r="5" spans="1:24" x14ac:dyDescent="0.25">
      <c r="A5" s="2" t="s">
        <v>32</v>
      </c>
      <c r="B5" s="1">
        <v>37</v>
      </c>
      <c r="C5" s="14">
        <f t="shared" si="0"/>
        <v>37</v>
      </c>
      <c r="D5" s="1" t="s">
        <v>16</v>
      </c>
      <c r="E5" s="1" t="s">
        <v>17</v>
      </c>
      <c r="F5" s="1" t="s">
        <v>33</v>
      </c>
      <c r="G5" s="1" t="str">
        <f t="shared" si="1"/>
        <v>Engineer</v>
      </c>
      <c r="H5" s="1">
        <v>88284</v>
      </c>
      <c r="I5" s="1">
        <f t="shared" si="2"/>
        <v>88284</v>
      </c>
      <c r="J5" s="1">
        <v>1</v>
      </c>
      <c r="K5" s="14">
        <f t="shared" si="3"/>
        <v>1</v>
      </c>
      <c r="L5" s="1">
        <v>4</v>
      </c>
      <c r="M5" s="1">
        <f t="shared" si="4"/>
        <v>4</v>
      </c>
      <c r="N5" s="1">
        <v>1</v>
      </c>
      <c r="O5" s="1">
        <f t="shared" si="5"/>
        <v>1</v>
      </c>
      <c r="P5" s="1" t="s">
        <v>20</v>
      </c>
      <c r="Q5" s="1">
        <v>20</v>
      </c>
      <c r="R5" s="1" t="s">
        <v>20</v>
      </c>
      <c r="S5" s="1" t="s">
        <v>26</v>
      </c>
      <c r="T5" s="1">
        <v>29</v>
      </c>
      <c r="U5" s="3" t="s">
        <v>22</v>
      </c>
    </row>
    <row r="6" spans="1:24" x14ac:dyDescent="0.25">
      <c r="A6" s="2" t="s">
        <v>34</v>
      </c>
      <c r="B6" s="1">
        <v>23</v>
      </c>
      <c r="C6" s="14">
        <f t="shared" si="0"/>
        <v>23</v>
      </c>
      <c r="D6" s="1" t="s">
        <v>16</v>
      </c>
      <c r="E6" s="1" t="s">
        <v>29</v>
      </c>
      <c r="F6" s="1" t="s">
        <v>35</v>
      </c>
      <c r="G6" s="1" t="str">
        <f t="shared" si="1"/>
        <v>Manager</v>
      </c>
      <c r="H6" s="1">
        <v>48512</v>
      </c>
      <c r="I6" s="1">
        <f t="shared" si="2"/>
        <v>48512</v>
      </c>
      <c r="J6" s="1">
        <v>1</v>
      </c>
      <c r="K6" s="14">
        <f t="shared" si="3"/>
        <v>1</v>
      </c>
      <c r="L6" s="1">
        <v>4</v>
      </c>
      <c r="M6" s="1">
        <f t="shared" si="4"/>
        <v>4</v>
      </c>
      <c r="N6" s="1">
        <v>3</v>
      </c>
      <c r="O6" s="1">
        <f t="shared" si="5"/>
        <v>3</v>
      </c>
      <c r="P6" s="1" t="s">
        <v>20</v>
      </c>
      <c r="Q6" s="1">
        <v>20</v>
      </c>
      <c r="R6" s="1" t="s">
        <v>20</v>
      </c>
      <c r="S6" s="1" t="s">
        <v>21</v>
      </c>
      <c r="T6" s="1">
        <v>52</v>
      </c>
      <c r="U6" s="3" t="s">
        <v>36</v>
      </c>
    </row>
    <row r="7" spans="1:24" x14ac:dyDescent="0.25">
      <c r="A7" s="2" t="s">
        <v>37</v>
      </c>
      <c r="B7" s="1">
        <v>34</v>
      </c>
      <c r="C7" s="14">
        <f t="shared" si="0"/>
        <v>34</v>
      </c>
      <c r="D7" s="1" t="s">
        <v>28</v>
      </c>
      <c r="E7" s="1" t="s">
        <v>17</v>
      </c>
      <c r="F7" s="1" t="s">
        <v>38</v>
      </c>
      <c r="G7" s="1" t="str">
        <f t="shared" si="1"/>
        <v>Lead</v>
      </c>
      <c r="H7" s="1">
        <v>102939</v>
      </c>
      <c r="I7" s="1">
        <f t="shared" si="2"/>
        <v>102939</v>
      </c>
      <c r="J7" s="1">
        <v>1</v>
      </c>
      <c r="K7" s="14">
        <f t="shared" si="3"/>
        <v>1</v>
      </c>
      <c r="L7" s="1">
        <v>5</v>
      </c>
      <c r="M7" s="1">
        <f t="shared" si="4"/>
        <v>5</v>
      </c>
      <c r="N7" s="1">
        <v>2</v>
      </c>
      <c r="O7" s="1">
        <f t="shared" si="5"/>
        <v>2</v>
      </c>
      <c r="P7" s="1" t="s">
        <v>19</v>
      </c>
      <c r="Q7" s="1">
        <v>5</v>
      </c>
      <c r="R7" s="1" t="s">
        <v>20</v>
      </c>
      <c r="S7" s="1" t="s">
        <v>30</v>
      </c>
      <c r="T7" s="1">
        <v>39</v>
      </c>
      <c r="U7" s="3" t="s">
        <v>31</v>
      </c>
    </row>
    <row r="8" spans="1:24" x14ac:dyDescent="0.25">
      <c r="A8" s="2" t="s">
        <v>39</v>
      </c>
      <c r="B8" s="1">
        <v>35</v>
      </c>
      <c r="C8" s="14">
        <f t="shared" si="0"/>
        <v>35</v>
      </c>
      <c r="D8" s="1" t="s">
        <v>28</v>
      </c>
      <c r="E8" s="1" t="s">
        <v>40</v>
      </c>
      <c r="F8" s="1" t="s">
        <v>550</v>
      </c>
      <c r="G8" s="1" t="str">
        <f t="shared" si="1"/>
        <v>Execuive</v>
      </c>
      <c r="H8" s="1">
        <v>22207</v>
      </c>
      <c r="I8" s="1">
        <f t="shared" si="2"/>
        <v>22207</v>
      </c>
      <c r="J8" s="1">
        <v>3</v>
      </c>
      <c r="K8" s="14">
        <f t="shared" si="3"/>
        <v>3</v>
      </c>
      <c r="L8" s="1">
        <v>4</v>
      </c>
      <c r="M8" s="1">
        <f t="shared" si="4"/>
        <v>4</v>
      </c>
      <c r="N8" s="1">
        <v>3</v>
      </c>
      <c r="O8" s="1">
        <f t="shared" si="5"/>
        <v>3</v>
      </c>
      <c r="P8" s="1" t="s">
        <v>19</v>
      </c>
      <c r="Q8" s="1">
        <v>6</v>
      </c>
      <c r="R8" s="1" t="s">
        <v>20</v>
      </c>
      <c r="S8" s="1" t="s">
        <v>21</v>
      </c>
      <c r="T8" s="1">
        <v>68</v>
      </c>
      <c r="U8" s="3" t="s">
        <v>42</v>
      </c>
    </row>
    <row r="9" spans="1:24" x14ac:dyDescent="0.25">
      <c r="A9" s="2" t="s">
        <v>43</v>
      </c>
      <c r="B9" s="1">
        <v>50</v>
      </c>
      <c r="C9" s="14">
        <f t="shared" si="0"/>
        <v>50</v>
      </c>
      <c r="D9" s="1" t="s">
        <v>16</v>
      </c>
      <c r="E9" s="1" t="s">
        <v>29</v>
      </c>
      <c r="F9" s="1" t="s">
        <v>41</v>
      </c>
      <c r="G9" s="1" t="str">
        <f t="shared" si="1"/>
        <v>Executive</v>
      </c>
      <c r="H9" s="1">
        <v>50325</v>
      </c>
      <c r="I9" s="1">
        <f t="shared" si="2"/>
        <v>50325</v>
      </c>
      <c r="J9" s="1">
        <v>5</v>
      </c>
      <c r="K9" s="14">
        <f t="shared" si="3"/>
        <v>5</v>
      </c>
      <c r="L9" s="1">
        <v>5</v>
      </c>
      <c r="M9" s="1">
        <f t="shared" si="4"/>
        <v>5</v>
      </c>
      <c r="N9" s="1"/>
      <c r="O9" s="1">
        <f t="shared" si="5"/>
        <v>3</v>
      </c>
      <c r="P9" s="1" t="s">
        <v>20</v>
      </c>
      <c r="Q9" s="1">
        <v>18</v>
      </c>
      <c r="R9" s="1" t="s">
        <v>20</v>
      </c>
      <c r="S9" s="1" t="s">
        <v>30</v>
      </c>
      <c r="T9" s="1">
        <v>33</v>
      </c>
      <c r="U9" s="3" t="s">
        <v>44</v>
      </c>
    </row>
    <row r="10" spans="1:24" x14ac:dyDescent="0.25">
      <c r="A10" s="2" t="s">
        <v>45</v>
      </c>
      <c r="B10" s="1">
        <v>53</v>
      </c>
      <c r="C10" s="14">
        <f t="shared" si="0"/>
        <v>53</v>
      </c>
      <c r="D10" s="1" t="s">
        <v>28</v>
      </c>
      <c r="E10" s="1" t="s">
        <v>40</v>
      </c>
      <c r="F10" s="1" t="s">
        <v>546</v>
      </c>
      <c r="G10" s="1" t="str">
        <f t="shared" si="1"/>
        <v>Manager</v>
      </c>
      <c r="H10" s="1">
        <v>32371</v>
      </c>
      <c r="I10" s="1">
        <f t="shared" si="2"/>
        <v>32371</v>
      </c>
      <c r="J10" s="1">
        <v>2</v>
      </c>
      <c r="K10" s="14">
        <f t="shared" si="3"/>
        <v>2</v>
      </c>
      <c r="L10" s="1">
        <v>2</v>
      </c>
      <c r="M10" s="1">
        <f t="shared" si="4"/>
        <v>2</v>
      </c>
      <c r="N10" s="1">
        <v>4</v>
      </c>
      <c r="O10" s="1">
        <f t="shared" si="5"/>
        <v>4</v>
      </c>
      <c r="P10" s="1" t="s">
        <v>19</v>
      </c>
      <c r="Q10" s="1">
        <v>12</v>
      </c>
      <c r="R10" s="1" t="s">
        <v>20</v>
      </c>
      <c r="S10" s="1" t="s">
        <v>26</v>
      </c>
      <c r="T10" s="1">
        <v>64</v>
      </c>
      <c r="U10" s="3" t="s">
        <v>31</v>
      </c>
    </row>
    <row r="11" spans="1:24" x14ac:dyDescent="0.25">
      <c r="A11" s="2" t="s">
        <v>46</v>
      </c>
      <c r="B11" s="1">
        <v>37</v>
      </c>
      <c r="C11" s="14">
        <f t="shared" si="0"/>
        <v>37</v>
      </c>
      <c r="D11" s="1" t="s">
        <v>16</v>
      </c>
      <c r="E11" s="1" t="s">
        <v>17</v>
      </c>
      <c r="F11" s="1" t="s">
        <v>38</v>
      </c>
      <c r="G11" s="1" t="str">
        <f t="shared" si="1"/>
        <v>Lead</v>
      </c>
      <c r="H11" s="1">
        <v>33014</v>
      </c>
      <c r="I11" s="1">
        <f t="shared" si="2"/>
        <v>33014</v>
      </c>
      <c r="J11" s="1">
        <v>5</v>
      </c>
      <c r="K11" s="14">
        <f t="shared" si="3"/>
        <v>5</v>
      </c>
      <c r="L11" s="1">
        <v>3</v>
      </c>
      <c r="M11" s="1">
        <f t="shared" si="4"/>
        <v>3</v>
      </c>
      <c r="N11" s="1">
        <v>3</v>
      </c>
      <c r="O11" s="1">
        <f t="shared" si="5"/>
        <v>3</v>
      </c>
      <c r="P11" s="1" t="s">
        <v>19</v>
      </c>
      <c r="Q11" s="1">
        <v>9</v>
      </c>
      <c r="R11" s="1" t="s">
        <v>20</v>
      </c>
      <c r="S11" s="1" t="s">
        <v>21</v>
      </c>
      <c r="T11" s="1">
        <v>63</v>
      </c>
      <c r="U11" s="3" t="s">
        <v>22</v>
      </c>
    </row>
    <row r="12" spans="1:24" x14ac:dyDescent="0.25">
      <c r="A12" s="2" t="s">
        <v>47</v>
      </c>
      <c r="B12" s="1">
        <v>37</v>
      </c>
      <c r="C12" s="14">
        <f t="shared" si="0"/>
        <v>37</v>
      </c>
      <c r="D12" s="1" t="s">
        <v>16</v>
      </c>
      <c r="E12" s="1" t="s">
        <v>24</v>
      </c>
      <c r="F12" s="1" t="s">
        <v>547</v>
      </c>
      <c r="G12" s="1" t="str">
        <f t="shared" si="1"/>
        <v>Manager</v>
      </c>
      <c r="H12" s="1">
        <v>99959</v>
      </c>
      <c r="I12" s="1">
        <f t="shared" si="2"/>
        <v>99959</v>
      </c>
      <c r="J12" s="1">
        <v>3</v>
      </c>
      <c r="K12" s="14">
        <f t="shared" si="3"/>
        <v>3</v>
      </c>
      <c r="L12" s="1">
        <v>5</v>
      </c>
      <c r="M12" s="1">
        <f t="shared" si="4"/>
        <v>5</v>
      </c>
      <c r="N12" s="1">
        <v>5</v>
      </c>
      <c r="O12" s="1">
        <f t="shared" si="5"/>
        <v>5</v>
      </c>
      <c r="P12" s="1" t="s">
        <v>19</v>
      </c>
      <c r="Q12" s="1">
        <v>4</v>
      </c>
      <c r="R12" s="1" t="s">
        <v>20</v>
      </c>
      <c r="S12" s="1" t="s">
        <v>21</v>
      </c>
      <c r="T12" s="1">
        <v>74</v>
      </c>
      <c r="U12" s="3" t="s">
        <v>31</v>
      </c>
    </row>
    <row r="13" spans="1:24" x14ac:dyDescent="0.25">
      <c r="A13" s="2" t="s">
        <v>48</v>
      </c>
      <c r="B13" s="1">
        <v>21</v>
      </c>
      <c r="C13" s="14">
        <f t="shared" si="0"/>
        <v>21</v>
      </c>
      <c r="D13" s="1" t="s">
        <v>28</v>
      </c>
      <c r="E13" s="1" t="s">
        <v>49</v>
      </c>
      <c r="F13" s="1" t="s">
        <v>35</v>
      </c>
      <c r="G13" s="1" t="str">
        <f t="shared" si="1"/>
        <v>Manager</v>
      </c>
      <c r="H13" s="1">
        <v>32662</v>
      </c>
      <c r="I13" s="1">
        <f t="shared" si="2"/>
        <v>32662</v>
      </c>
      <c r="J13" s="1">
        <v>3</v>
      </c>
      <c r="K13" s="14">
        <f t="shared" si="3"/>
        <v>3</v>
      </c>
      <c r="L13" s="1">
        <v>3</v>
      </c>
      <c r="M13" s="1">
        <f t="shared" si="4"/>
        <v>3</v>
      </c>
      <c r="N13" s="1">
        <v>2</v>
      </c>
      <c r="O13" s="1">
        <f t="shared" si="5"/>
        <v>2</v>
      </c>
      <c r="P13" s="1" t="s">
        <v>19</v>
      </c>
      <c r="Q13" s="1">
        <v>7</v>
      </c>
      <c r="R13" s="1" t="s">
        <v>19</v>
      </c>
      <c r="S13" s="1" t="s">
        <v>21</v>
      </c>
      <c r="T13" s="1">
        <v>67</v>
      </c>
      <c r="U13" s="3" t="s">
        <v>22</v>
      </c>
    </row>
    <row r="14" spans="1:24" x14ac:dyDescent="0.25">
      <c r="A14" s="2" t="s">
        <v>50</v>
      </c>
      <c r="B14" s="1">
        <v>55</v>
      </c>
      <c r="C14" s="14">
        <f t="shared" si="0"/>
        <v>55</v>
      </c>
      <c r="D14" s="1" t="s">
        <v>16</v>
      </c>
      <c r="E14" s="1" t="s">
        <v>51</v>
      </c>
      <c r="F14" s="1" t="s">
        <v>38</v>
      </c>
      <c r="G14" s="1" t="str">
        <f t="shared" si="1"/>
        <v>Lead</v>
      </c>
      <c r="H14" s="1">
        <v>80296</v>
      </c>
      <c r="I14" s="1">
        <f t="shared" si="2"/>
        <v>80296</v>
      </c>
      <c r="J14" s="1">
        <v>5</v>
      </c>
      <c r="K14" s="14">
        <f t="shared" si="3"/>
        <v>5</v>
      </c>
      <c r="L14" s="1">
        <v>2</v>
      </c>
      <c r="M14" s="1">
        <f t="shared" si="4"/>
        <v>2</v>
      </c>
      <c r="N14" s="1">
        <v>3</v>
      </c>
      <c r="O14" s="1">
        <f t="shared" si="5"/>
        <v>3</v>
      </c>
      <c r="P14" s="1" t="s">
        <v>20</v>
      </c>
      <c r="Q14" s="1">
        <v>6</v>
      </c>
      <c r="R14" s="1" t="s">
        <v>19</v>
      </c>
      <c r="S14" s="1" t="s">
        <v>26</v>
      </c>
      <c r="T14" s="1">
        <v>44</v>
      </c>
      <c r="U14" s="3" t="s">
        <v>42</v>
      </c>
    </row>
    <row r="15" spans="1:24" x14ac:dyDescent="0.25">
      <c r="A15" s="2" t="s">
        <v>52</v>
      </c>
      <c r="B15" s="1">
        <v>44</v>
      </c>
      <c r="C15" s="14">
        <f t="shared" si="0"/>
        <v>44</v>
      </c>
      <c r="D15" s="1" t="s">
        <v>28</v>
      </c>
      <c r="E15" s="1" t="s">
        <v>24</v>
      </c>
      <c r="F15" s="1" t="s">
        <v>33</v>
      </c>
      <c r="G15" s="1" t="str">
        <f t="shared" si="1"/>
        <v>Engineer</v>
      </c>
      <c r="H15" s="1">
        <v>33860</v>
      </c>
      <c r="I15" s="1">
        <f t="shared" si="2"/>
        <v>33860</v>
      </c>
      <c r="J15" s="1">
        <v>2</v>
      </c>
      <c r="K15" s="14">
        <f t="shared" si="3"/>
        <v>2</v>
      </c>
      <c r="L15" s="1">
        <v>2</v>
      </c>
      <c r="M15" s="1">
        <f t="shared" si="4"/>
        <v>2</v>
      </c>
      <c r="N15" s="1">
        <v>1</v>
      </c>
      <c r="O15" s="1">
        <f t="shared" si="5"/>
        <v>1</v>
      </c>
      <c r="P15" s="1" t="s">
        <v>20</v>
      </c>
      <c r="Q15" s="1">
        <v>0</v>
      </c>
      <c r="R15" s="1" t="s">
        <v>19</v>
      </c>
      <c r="S15" s="1" t="s">
        <v>26</v>
      </c>
      <c r="T15" s="1">
        <v>33</v>
      </c>
      <c r="U15" s="3" t="s">
        <v>22</v>
      </c>
    </row>
    <row r="16" spans="1:24" x14ac:dyDescent="0.25">
      <c r="A16" s="2" t="s">
        <v>53</v>
      </c>
      <c r="B16" s="1">
        <v>25</v>
      </c>
      <c r="C16" s="14">
        <f t="shared" si="0"/>
        <v>25</v>
      </c>
      <c r="D16" s="1" t="s">
        <v>16</v>
      </c>
      <c r="E16" s="1" t="s">
        <v>51</v>
      </c>
      <c r="F16" s="1" t="s">
        <v>35</v>
      </c>
      <c r="G16" s="1" t="str">
        <f t="shared" si="1"/>
        <v>Manager</v>
      </c>
      <c r="H16" s="1">
        <v>22117</v>
      </c>
      <c r="I16" s="1">
        <f t="shared" si="2"/>
        <v>22117</v>
      </c>
      <c r="J16" s="1">
        <v>3</v>
      </c>
      <c r="K16" s="14">
        <f t="shared" si="3"/>
        <v>3</v>
      </c>
      <c r="L16" s="1">
        <v>1</v>
      </c>
      <c r="M16" s="1">
        <f t="shared" si="4"/>
        <v>1</v>
      </c>
      <c r="N16" s="1">
        <v>5</v>
      </c>
      <c r="O16" s="1">
        <f t="shared" si="5"/>
        <v>5</v>
      </c>
      <c r="P16" s="1" t="s">
        <v>19</v>
      </c>
      <c r="Q16" s="1">
        <v>8</v>
      </c>
      <c r="R16" s="1" t="s">
        <v>20</v>
      </c>
      <c r="S16" s="1" t="s">
        <v>21</v>
      </c>
      <c r="T16" s="1">
        <v>74</v>
      </c>
      <c r="U16" s="3" t="s">
        <v>44</v>
      </c>
    </row>
    <row r="17" spans="1:21" x14ac:dyDescent="0.25">
      <c r="A17" s="2" t="s">
        <v>54</v>
      </c>
      <c r="B17" s="1">
        <v>57</v>
      </c>
      <c r="C17" s="14">
        <f t="shared" si="0"/>
        <v>57</v>
      </c>
      <c r="D17" s="1" t="s">
        <v>28</v>
      </c>
      <c r="E17" s="1" t="s">
        <v>51</v>
      </c>
      <c r="F17" s="1" t="s">
        <v>549</v>
      </c>
      <c r="G17" s="1" t="str">
        <f t="shared" si="1"/>
        <v>Enginee</v>
      </c>
      <c r="H17" s="1">
        <v>71354</v>
      </c>
      <c r="I17" s="1">
        <f t="shared" si="2"/>
        <v>71354</v>
      </c>
      <c r="J17" s="1">
        <v>2</v>
      </c>
      <c r="K17" s="14">
        <f t="shared" si="3"/>
        <v>2</v>
      </c>
      <c r="L17" s="1">
        <v>1</v>
      </c>
      <c r="M17" s="1">
        <f t="shared" si="4"/>
        <v>1</v>
      </c>
      <c r="N17" s="1">
        <v>1</v>
      </c>
      <c r="O17" s="1">
        <f t="shared" si="5"/>
        <v>1</v>
      </c>
      <c r="P17" s="1" t="s">
        <v>20</v>
      </c>
      <c r="Q17" s="1">
        <v>11</v>
      </c>
      <c r="R17" s="1" t="s">
        <v>20</v>
      </c>
      <c r="S17" s="1" t="s">
        <v>30</v>
      </c>
      <c r="T17" s="1">
        <v>64</v>
      </c>
      <c r="U17" s="3" t="s">
        <v>22</v>
      </c>
    </row>
    <row r="18" spans="1:21" x14ac:dyDescent="0.25">
      <c r="A18" s="2" t="s">
        <v>55</v>
      </c>
      <c r="B18" s="1">
        <v>27</v>
      </c>
      <c r="C18" s="14">
        <f t="shared" si="0"/>
        <v>27</v>
      </c>
      <c r="D18" s="1" t="s">
        <v>16</v>
      </c>
      <c r="E18" s="1" t="s">
        <v>49</v>
      </c>
      <c r="F18" s="1" t="s">
        <v>38</v>
      </c>
      <c r="G18" s="1" t="str">
        <f t="shared" si="1"/>
        <v>Lead</v>
      </c>
      <c r="H18" s="1">
        <v>62473</v>
      </c>
      <c r="I18" s="1">
        <f t="shared" si="2"/>
        <v>62473</v>
      </c>
      <c r="J18" s="1"/>
      <c r="K18" s="14">
        <f t="shared" si="3"/>
        <v>3</v>
      </c>
      <c r="L18" s="1">
        <v>2</v>
      </c>
      <c r="M18" s="1">
        <f t="shared" si="4"/>
        <v>2</v>
      </c>
      <c r="N18" s="1">
        <v>2</v>
      </c>
      <c r="O18" s="1">
        <f t="shared" si="5"/>
        <v>2</v>
      </c>
      <c r="P18" s="1" t="s">
        <v>19</v>
      </c>
      <c r="Q18" s="1">
        <v>17</v>
      </c>
      <c r="R18" s="1" t="s">
        <v>20</v>
      </c>
      <c r="S18" s="1" t="s">
        <v>21</v>
      </c>
      <c r="T18" s="1">
        <v>59</v>
      </c>
      <c r="U18" s="3" t="s">
        <v>44</v>
      </c>
    </row>
    <row r="19" spans="1:21" x14ac:dyDescent="0.25">
      <c r="A19" s="2" t="s">
        <v>56</v>
      </c>
      <c r="B19" s="1">
        <v>38</v>
      </c>
      <c r="C19" s="14">
        <f t="shared" si="0"/>
        <v>38</v>
      </c>
      <c r="D19" s="1" t="s">
        <v>28</v>
      </c>
      <c r="E19" s="1" t="s">
        <v>51</v>
      </c>
      <c r="F19" s="1" t="s">
        <v>548</v>
      </c>
      <c r="G19" s="1" t="str">
        <f t="shared" si="1"/>
        <v>Manage</v>
      </c>
      <c r="H19" s="1">
        <v>76082</v>
      </c>
      <c r="I19" s="1">
        <f t="shared" si="2"/>
        <v>76082</v>
      </c>
      <c r="J19" s="1">
        <v>5</v>
      </c>
      <c r="K19" s="14">
        <f t="shared" si="3"/>
        <v>5</v>
      </c>
      <c r="L19" s="1"/>
      <c r="M19" s="1">
        <f t="shared" si="4"/>
        <v>3</v>
      </c>
      <c r="N19" s="1">
        <v>1</v>
      </c>
      <c r="O19" s="1">
        <f t="shared" si="5"/>
        <v>1</v>
      </c>
      <c r="P19" s="1" t="s">
        <v>19</v>
      </c>
      <c r="Q19" s="1">
        <v>2</v>
      </c>
      <c r="R19" s="1" t="s">
        <v>19</v>
      </c>
      <c r="S19" s="1" t="s">
        <v>21</v>
      </c>
      <c r="T19" s="1">
        <v>57</v>
      </c>
      <c r="U19" s="3" t="s">
        <v>42</v>
      </c>
    </row>
    <row r="20" spans="1:21" x14ac:dyDescent="0.25">
      <c r="A20" s="2" t="s">
        <v>57</v>
      </c>
      <c r="B20" s="1">
        <v>51</v>
      </c>
      <c r="C20" s="14">
        <f t="shared" si="0"/>
        <v>51</v>
      </c>
      <c r="D20" s="1" t="s">
        <v>16</v>
      </c>
      <c r="E20" s="1" t="s">
        <v>49</v>
      </c>
      <c r="F20" s="1" t="s">
        <v>35</v>
      </c>
      <c r="G20" s="1" t="str">
        <f t="shared" si="1"/>
        <v>Manager</v>
      </c>
      <c r="H20" s="1">
        <v>39579</v>
      </c>
      <c r="I20" s="1">
        <f t="shared" si="2"/>
        <v>39579</v>
      </c>
      <c r="J20" s="1">
        <v>4</v>
      </c>
      <c r="K20" s="14">
        <f t="shared" si="3"/>
        <v>4</v>
      </c>
      <c r="L20" s="1">
        <v>1</v>
      </c>
      <c r="M20" s="1">
        <f t="shared" si="4"/>
        <v>1</v>
      </c>
      <c r="N20" s="1">
        <v>4</v>
      </c>
      <c r="O20" s="1">
        <f t="shared" si="5"/>
        <v>4</v>
      </c>
      <c r="P20" s="1" t="s">
        <v>20</v>
      </c>
      <c r="Q20" s="1">
        <v>14</v>
      </c>
      <c r="R20" s="1" t="s">
        <v>20</v>
      </c>
      <c r="S20" s="1" t="s">
        <v>30</v>
      </c>
      <c r="T20" s="1">
        <v>76</v>
      </c>
      <c r="U20" s="3" t="s">
        <v>42</v>
      </c>
    </row>
    <row r="21" spans="1:21" x14ac:dyDescent="0.25">
      <c r="A21" s="2" t="s">
        <v>58</v>
      </c>
      <c r="B21" s="1">
        <v>30</v>
      </c>
      <c r="C21" s="14">
        <f t="shared" si="0"/>
        <v>30</v>
      </c>
      <c r="D21" s="1" t="s">
        <v>16</v>
      </c>
      <c r="E21" s="1" t="s">
        <v>29</v>
      </c>
      <c r="F21" s="1" t="s">
        <v>551</v>
      </c>
      <c r="G21" s="1" t="str">
        <f t="shared" si="1"/>
        <v>Executve</v>
      </c>
      <c r="H21" s="1">
        <v>25665</v>
      </c>
      <c r="I21" s="1">
        <f t="shared" si="2"/>
        <v>25665</v>
      </c>
      <c r="J21" s="1">
        <v>5</v>
      </c>
      <c r="K21" s="14">
        <f t="shared" si="3"/>
        <v>5</v>
      </c>
      <c r="L21" s="1">
        <v>5</v>
      </c>
      <c r="M21" s="1">
        <f t="shared" si="4"/>
        <v>5</v>
      </c>
      <c r="N21" s="1">
        <v>1</v>
      </c>
      <c r="O21" s="1">
        <f t="shared" si="5"/>
        <v>1</v>
      </c>
      <c r="P21" s="1" t="s">
        <v>20</v>
      </c>
      <c r="Q21" s="1">
        <v>1</v>
      </c>
      <c r="R21" s="1" t="s">
        <v>19</v>
      </c>
      <c r="S21" s="1" t="s">
        <v>26</v>
      </c>
      <c r="T21" s="1">
        <v>66</v>
      </c>
      <c r="U21" s="3" t="s">
        <v>31</v>
      </c>
    </row>
    <row r="22" spans="1:21" x14ac:dyDescent="0.25">
      <c r="A22" s="2" t="s">
        <v>59</v>
      </c>
      <c r="B22" s="1">
        <v>54</v>
      </c>
      <c r="C22" s="14">
        <f t="shared" si="0"/>
        <v>54</v>
      </c>
      <c r="D22" s="1" t="s">
        <v>16</v>
      </c>
      <c r="E22" s="1" t="s">
        <v>40</v>
      </c>
      <c r="F22" s="1" t="s">
        <v>552</v>
      </c>
      <c r="G22" s="1" t="str">
        <f t="shared" si="1"/>
        <v>Assocate</v>
      </c>
      <c r="H22" s="1">
        <v>28500</v>
      </c>
      <c r="I22" s="1">
        <f t="shared" si="2"/>
        <v>28500</v>
      </c>
      <c r="J22" s="1">
        <v>2</v>
      </c>
      <c r="K22" s="14">
        <f t="shared" si="3"/>
        <v>2</v>
      </c>
      <c r="L22" s="1"/>
      <c r="M22" s="1">
        <f t="shared" si="4"/>
        <v>3</v>
      </c>
      <c r="N22" s="1">
        <v>5</v>
      </c>
      <c r="O22" s="1">
        <f t="shared" si="5"/>
        <v>5</v>
      </c>
      <c r="P22" s="1" t="s">
        <v>19</v>
      </c>
      <c r="Q22" s="1">
        <v>7</v>
      </c>
      <c r="R22" s="1" t="s">
        <v>20</v>
      </c>
      <c r="S22" s="1" t="s">
        <v>21</v>
      </c>
      <c r="T22" s="1">
        <v>77</v>
      </c>
      <c r="U22" s="3" t="s">
        <v>44</v>
      </c>
    </row>
    <row r="23" spans="1:21" x14ac:dyDescent="0.25">
      <c r="A23" s="2" t="s">
        <v>60</v>
      </c>
      <c r="B23" s="1">
        <v>58</v>
      </c>
      <c r="C23" s="14">
        <f t="shared" si="0"/>
        <v>58</v>
      </c>
      <c r="D23" s="1" t="s">
        <v>16</v>
      </c>
      <c r="E23" s="1" t="s">
        <v>24</v>
      </c>
      <c r="F23" s="1" t="s">
        <v>554</v>
      </c>
      <c r="G23" s="1" t="str">
        <f t="shared" si="1"/>
        <v>Manger</v>
      </c>
      <c r="H23" s="1">
        <v>72948</v>
      </c>
      <c r="I23" s="1">
        <f t="shared" si="2"/>
        <v>72948</v>
      </c>
      <c r="J23" s="1">
        <v>5</v>
      </c>
      <c r="K23" s="14">
        <f t="shared" si="3"/>
        <v>5</v>
      </c>
      <c r="L23" s="1">
        <v>5</v>
      </c>
      <c r="M23" s="1">
        <f t="shared" si="4"/>
        <v>5</v>
      </c>
      <c r="N23" s="1">
        <v>5</v>
      </c>
      <c r="O23" s="1">
        <f t="shared" si="5"/>
        <v>5</v>
      </c>
      <c r="P23" s="1" t="s">
        <v>20</v>
      </c>
      <c r="Q23" s="1">
        <v>8</v>
      </c>
      <c r="R23" s="1" t="s">
        <v>19</v>
      </c>
      <c r="S23" s="1" t="s">
        <v>26</v>
      </c>
      <c r="T23" s="1">
        <v>45</v>
      </c>
      <c r="U23" s="3" t="s">
        <v>44</v>
      </c>
    </row>
    <row r="24" spans="1:21" x14ac:dyDescent="0.25">
      <c r="A24" s="2" t="s">
        <v>61</v>
      </c>
      <c r="B24" s="1">
        <v>37</v>
      </c>
      <c r="C24" s="14">
        <f t="shared" si="0"/>
        <v>37</v>
      </c>
      <c r="D24" s="1" t="s">
        <v>28</v>
      </c>
      <c r="E24" s="1" t="s">
        <v>51</v>
      </c>
      <c r="F24" s="1" t="s">
        <v>38</v>
      </c>
      <c r="G24" s="1" t="str">
        <f t="shared" si="1"/>
        <v>Lead</v>
      </c>
      <c r="H24" s="1">
        <v>102607</v>
      </c>
      <c r="I24" s="1">
        <f t="shared" si="2"/>
        <v>102607</v>
      </c>
      <c r="J24" s="1">
        <v>3</v>
      </c>
      <c r="K24" s="14">
        <f t="shared" si="3"/>
        <v>3</v>
      </c>
      <c r="L24" s="1"/>
      <c r="M24" s="1">
        <f t="shared" si="4"/>
        <v>3</v>
      </c>
      <c r="N24" s="1">
        <v>3</v>
      </c>
      <c r="O24" s="1">
        <f t="shared" si="5"/>
        <v>3</v>
      </c>
      <c r="P24" s="1" t="s">
        <v>19</v>
      </c>
      <c r="Q24" s="1">
        <v>0</v>
      </c>
      <c r="R24" s="1" t="s">
        <v>20</v>
      </c>
      <c r="S24" s="1" t="s">
        <v>26</v>
      </c>
      <c r="T24" s="1">
        <v>77</v>
      </c>
      <c r="U24" s="3" t="s">
        <v>22</v>
      </c>
    </row>
    <row r="25" spans="1:21" x14ac:dyDescent="0.25">
      <c r="A25" s="2" t="s">
        <v>62</v>
      </c>
      <c r="B25" s="1">
        <v>25</v>
      </c>
      <c r="C25" s="14">
        <f t="shared" si="0"/>
        <v>25</v>
      </c>
      <c r="D25" s="1" t="s">
        <v>16</v>
      </c>
      <c r="E25" s="1" t="s">
        <v>24</v>
      </c>
      <c r="F25" s="1" t="s">
        <v>18</v>
      </c>
      <c r="G25" s="1" t="str">
        <f t="shared" si="1"/>
        <v>Analyst</v>
      </c>
      <c r="H25" s="1">
        <v>35361</v>
      </c>
      <c r="I25" s="1">
        <f t="shared" si="2"/>
        <v>35361</v>
      </c>
      <c r="J25" s="1">
        <v>3</v>
      </c>
      <c r="K25" s="14">
        <f t="shared" si="3"/>
        <v>3</v>
      </c>
      <c r="L25" s="1">
        <v>1</v>
      </c>
      <c r="M25" s="1">
        <f t="shared" si="4"/>
        <v>1</v>
      </c>
      <c r="N25" s="1">
        <v>2</v>
      </c>
      <c r="O25" s="1">
        <f t="shared" si="5"/>
        <v>2</v>
      </c>
      <c r="P25" s="1" t="s">
        <v>20</v>
      </c>
      <c r="Q25" s="1">
        <v>9</v>
      </c>
      <c r="R25" s="1" t="s">
        <v>19</v>
      </c>
      <c r="S25" s="1" t="s">
        <v>30</v>
      </c>
      <c r="T25" s="1">
        <v>74</v>
      </c>
      <c r="U25" s="3" t="s">
        <v>36</v>
      </c>
    </row>
    <row r="26" spans="1:21" x14ac:dyDescent="0.25">
      <c r="A26" s="2" t="s">
        <v>63</v>
      </c>
      <c r="B26" s="1">
        <v>54</v>
      </c>
      <c r="C26" s="14">
        <f t="shared" si="0"/>
        <v>54</v>
      </c>
      <c r="D26" s="1" t="s">
        <v>16</v>
      </c>
      <c r="E26" s="1" t="s">
        <v>17</v>
      </c>
      <c r="F26" s="1" t="s">
        <v>25</v>
      </c>
      <c r="G26" s="1" t="str">
        <f t="shared" si="1"/>
        <v>Associate</v>
      </c>
      <c r="H26" s="1">
        <v>57240</v>
      </c>
      <c r="I26" s="1">
        <f t="shared" si="2"/>
        <v>57240</v>
      </c>
      <c r="J26" s="1">
        <v>1</v>
      </c>
      <c r="K26" s="14">
        <f t="shared" si="3"/>
        <v>1</v>
      </c>
      <c r="L26" s="1">
        <v>2</v>
      </c>
      <c r="M26" s="1">
        <f t="shared" si="4"/>
        <v>2</v>
      </c>
      <c r="N26" s="1">
        <v>3</v>
      </c>
      <c r="O26" s="1">
        <f t="shared" si="5"/>
        <v>3</v>
      </c>
      <c r="P26" s="1" t="s">
        <v>19</v>
      </c>
      <c r="Q26" s="1">
        <v>3</v>
      </c>
      <c r="R26" s="1" t="s">
        <v>19</v>
      </c>
      <c r="S26" s="1" t="s">
        <v>30</v>
      </c>
      <c r="T26" s="1">
        <v>41</v>
      </c>
      <c r="U26" s="3" t="s">
        <v>31</v>
      </c>
    </row>
    <row r="27" spans="1:21" x14ac:dyDescent="0.25">
      <c r="A27" s="2" t="s">
        <v>64</v>
      </c>
      <c r="B27" s="1">
        <v>34</v>
      </c>
      <c r="C27" s="14">
        <f t="shared" si="0"/>
        <v>34</v>
      </c>
      <c r="D27" s="1" t="s">
        <v>28</v>
      </c>
      <c r="E27" s="1" t="s">
        <v>51</v>
      </c>
      <c r="F27" s="1" t="s">
        <v>38</v>
      </c>
      <c r="G27" s="1" t="str">
        <f t="shared" si="1"/>
        <v>Lead</v>
      </c>
      <c r="H27" s="1">
        <v>101130</v>
      </c>
      <c r="I27" s="1">
        <f t="shared" si="2"/>
        <v>101130</v>
      </c>
      <c r="J27" s="1">
        <v>3</v>
      </c>
      <c r="K27" s="14">
        <f t="shared" si="3"/>
        <v>3</v>
      </c>
      <c r="L27" s="1">
        <v>5</v>
      </c>
      <c r="M27" s="1">
        <f t="shared" si="4"/>
        <v>5</v>
      </c>
      <c r="N27" s="1">
        <v>4</v>
      </c>
      <c r="O27" s="1">
        <f t="shared" si="5"/>
        <v>4</v>
      </c>
      <c r="P27" s="1" t="s">
        <v>20</v>
      </c>
      <c r="Q27" s="1">
        <v>1</v>
      </c>
      <c r="R27" s="1" t="s">
        <v>19</v>
      </c>
      <c r="S27" s="1" t="s">
        <v>26</v>
      </c>
      <c r="T27" s="1">
        <v>59</v>
      </c>
      <c r="U27" s="3" t="s">
        <v>36</v>
      </c>
    </row>
    <row r="28" spans="1:21" x14ac:dyDescent="0.25">
      <c r="A28" s="2" t="s">
        <v>65</v>
      </c>
      <c r="B28" s="1">
        <v>23</v>
      </c>
      <c r="C28" s="14">
        <f t="shared" si="0"/>
        <v>23</v>
      </c>
      <c r="D28" s="1" t="s">
        <v>16</v>
      </c>
      <c r="E28" s="1" t="s">
        <v>29</v>
      </c>
      <c r="F28" s="1" t="s">
        <v>41</v>
      </c>
      <c r="G28" s="1" t="str">
        <f t="shared" si="1"/>
        <v>Executive</v>
      </c>
      <c r="H28" s="1">
        <v>101507</v>
      </c>
      <c r="I28" s="1">
        <f t="shared" si="2"/>
        <v>101507</v>
      </c>
      <c r="J28" s="1">
        <v>3</v>
      </c>
      <c r="K28" s="14">
        <f t="shared" si="3"/>
        <v>3</v>
      </c>
      <c r="L28" s="1">
        <v>2</v>
      </c>
      <c r="M28" s="1">
        <f t="shared" si="4"/>
        <v>2</v>
      </c>
      <c r="N28" s="1">
        <v>4</v>
      </c>
      <c r="O28" s="1">
        <f t="shared" si="5"/>
        <v>4</v>
      </c>
      <c r="P28" s="1" t="s">
        <v>20</v>
      </c>
      <c r="Q28" s="1">
        <v>17</v>
      </c>
      <c r="R28" s="1" t="s">
        <v>19</v>
      </c>
      <c r="S28" s="1" t="s">
        <v>21</v>
      </c>
      <c r="T28" s="1">
        <v>14</v>
      </c>
      <c r="U28" s="3" t="s">
        <v>44</v>
      </c>
    </row>
    <row r="29" spans="1:21" x14ac:dyDescent="0.25">
      <c r="A29" s="2" t="s">
        <v>66</v>
      </c>
      <c r="B29" s="1">
        <v>55</v>
      </c>
      <c r="C29" s="14">
        <f t="shared" si="0"/>
        <v>55</v>
      </c>
      <c r="D29" s="1" t="s">
        <v>16</v>
      </c>
      <c r="E29" s="1" t="s">
        <v>29</v>
      </c>
      <c r="F29" s="1" t="s">
        <v>25</v>
      </c>
      <c r="G29" s="1" t="str">
        <f t="shared" si="1"/>
        <v>Associate</v>
      </c>
      <c r="H29" s="1">
        <v>90420</v>
      </c>
      <c r="I29" s="1">
        <f t="shared" si="2"/>
        <v>90420</v>
      </c>
      <c r="J29" s="1">
        <v>2</v>
      </c>
      <c r="K29" s="14">
        <f t="shared" si="3"/>
        <v>2</v>
      </c>
      <c r="L29" s="1">
        <v>4</v>
      </c>
      <c r="M29" s="1">
        <f t="shared" si="4"/>
        <v>4</v>
      </c>
      <c r="N29" s="1">
        <v>2</v>
      </c>
      <c r="O29" s="1">
        <f t="shared" si="5"/>
        <v>2</v>
      </c>
      <c r="P29" s="1" t="s">
        <v>19</v>
      </c>
      <c r="Q29" s="1">
        <v>9</v>
      </c>
      <c r="R29" s="1" t="s">
        <v>20</v>
      </c>
      <c r="S29" s="1" t="s">
        <v>21</v>
      </c>
      <c r="T29" s="1">
        <v>50</v>
      </c>
      <c r="U29" s="3" t="s">
        <v>44</v>
      </c>
    </row>
    <row r="30" spans="1:21" x14ac:dyDescent="0.25">
      <c r="A30" s="2" t="s">
        <v>67</v>
      </c>
      <c r="B30" s="1">
        <v>36</v>
      </c>
      <c r="C30" s="14">
        <f t="shared" si="0"/>
        <v>36</v>
      </c>
      <c r="D30" s="1" t="s">
        <v>16</v>
      </c>
      <c r="E30" s="1" t="s">
        <v>29</v>
      </c>
      <c r="F30" s="1" t="s">
        <v>25</v>
      </c>
      <c r="G30" s="1" t="str">
        <f t="shared" si="1"/>
        <v>Associate</v>
      </c>
      <c r="H30" s="1">
        <v>71264</v>
      </c>
      <c r="I30" s="1">
        <f t="shared" si="2"/>
        <v>71264</v>
      </c>
      <c r="J30" s="1">
        <v>5</v>
      </c>
      <c r="K30" s="14">
        <f t="shared" si="3"/>
        <v>5</v>
      </c>
      <c r="L30" s="1">
        <v>2</v>
      </c>
      <c r="M30" s="1">
        <f t="shared" si="4"/>
        <v>2</v>
      </c>
      <c r="N30" s="1">
        <v>2</v>
      </c>
      <c r="O30" s="1">
        <f t="shared" si="5"/>
        <v>2</v>
      </c>
      <c r="P30" s="1" t="s">
        <v>19</v>
      </c>
      <c r="Q30" s="1">
        <v>5</v>
      </c>
      <c r="R30" s="1" t="s">
        <v>20</v>
      </c>
      <c r="S30" s="1" t="s">
        <v>21</v>
      </c>
      <c r="T30" s="1">
        <v>27</v>
      </c>
      <c r="U30" s="3" t="s">
        <v>36</v>
      </c>
    </row>
    <row r="31" spans="1:21" x14ac:dyDescent="0.25">
      <c r="A31" s="2" t="s">
        <v>68</v>
      </c>
      <c r="B31" s="1">
        <v>47</v>
      </c>
      <c r="C31" s="14">
        <f t="shared" si="0"/>
        <v>47</v>
      </c>
      <c r="D31" s="1" t="s">
        <v>16</v>
      </c>
      <c r="E31" s="1" t="s">
        <v>29</v>
      </c>
      <c r="F31" s="1" t="s">
        <v>41</v>
      </c>
      <c r="G31" s="1" t="str">
        <f t="shared" si="1"/>
        <v>Executive</v>
      </c>
      <c r="H31" s="1">
        <v>109917</v>
      </c>
      <c r="I31" s="1">
        <f t="shared" si="2"/>
        <v>109917</v>
      </c>
      <c r="J31" s="1">
        <v>1</v>
      </c>
      <c r="K31" s="14">
        <f t="shared" si="3"/>
        <v>1</v>
      </c>
      <c r="L31" s="1">
        <v>4</v>
      </c>
      <c r="M31" s="1">
        <f t="shared" si="4"/>
        <v>4</v>
      </c>
      <c r="N31" s="1">
        <v>1</v>
      </c>
      <c r="O31" s="1">
        <f t="shared" si="5"/>
        <v>1</v>
      </c>
      <c r="P31" s="1" t="s">
        <v>20</v>
      </c>
      <c r="Q31" s="1">
        <v>7</v>
      </c>
      <c r="R31" s="1" t="s">
        <v>19</v>
      </c>
      <c r="S31" s="1" t="s">
        <v>30</v>
      </c>
      <c r="T31" s="1">
        <v>49</v>
      </c>
      <c r="U31" s="3" t="s">
        <v>36</v>
      </c>
    </row>
    <row r="32" spans="1:21" x14ac:dyDescent="0.25">
      <c r="A32" s="2" t="s">
        <v>69</v>
      </c>
      <c r="B32" s="1">
        <v>35</v>
      </c>
      <c r="C32" s="14">
        <f t="shared" si="0"/>
        <v>35</v>
      </c>
      <c r="D32" s="1" t="s">
        <v>16</v>
      </c>
      <c r="E32" s="1" t="s">
        <v>40</v>
      </c>
      <c r="F32" s="1" t="s">
        <v>38</v>
      </c>
      <c r="G32" s="1" t="str">
        <f t="shared" si="1"/>
        <v>Lead</v>
      </c>
      <c r="H32" s="1">
        <v>43313</v>
      </c>
      <c r="I32" s="1">
        <f t="shared" si="2"/>
        <v>43313</v>
      </c>
      <c r="J32" s="1"/>
      <c r="K32" s="14">
        <f t="shared" si="3"/>
        <v>3</v>
      </c>
      <c r="L32" s="1">
        <v>3</v>
      </c>
      <c r="M32" s="1">
        <f t="shared" si="4"/>
        <v>3</v>
      </c>
      <c r="N32" s="1">
        <v>3</v>
      </c>
      <c r="O32" s="1">
        <f t="shared" si="5"/>
        <v>3</v>
      </c>
      <c r="P32" s="1" t="s">
        <v>19</v>
      </c>
      <c r="Q32" s="1">
        <v>8</v>
      </c>
      <c r="R32" s="1" t="s">
        <v>20</v>
      </c>
      <c r="S32" s="1" t="s">
        <v>26</v>
      </c>
      <c r="T32" s="1">
        <v>70</v>
      </c>
      <c r="U32" s="3" t="s">
        <v>42</v>
      </c>
    </row>
    <row r="33" spans="1:21" x14ac:dyDescent="0.25">
      <c r="A33" s="2" t="s">
        <v>70</v>
      </c>
      <c r="B33" s="1">
        <v>55</v>
      </c>
      <c r="C33" s="14">
        <f t="shared" si="0"/>
        <v>55</v>
      </c>
      <c r="D33" s="1" t="s">
        <v>28</v>
      </c>
      <c r="E33" s="1" t="s">
        <v>40</v>
      </c>
      <c r="F33" s="1" t="s">
        <v>35</v>
      </c>
      <c r="G33" s="1" t="str">
        <f t="shared" si="1"/>
        <v>Manager</v>
      </c>
      <c r="H33" s="1">
        <v>52237</v>
      </c>
      <c r="I33" s="1">
        <f t="shared" si="2"/>
        <v>52237</v>
      </c>
      <c r="J33" s="1">
        <v>2</v>
      </c>
      <c r="K33" s="14">
        <f t="shared" si="3"/>
        <v>2</v>
      </c>
      <c r="L33" s="1">
        <v>5</v>
      </c>
      <c r="M33" s="1">
        <f t="shared" si="4"/>
        <v>5</v>
      </c>
      <c r="N33" s="1">
        <v>3</v>
      </c>
      <c r="O33" s="1">
        <f t="shared" si="5"/>
        <v>3</v>
      </c>
      <c r="P33" s="1" t="s">
        <v>19</v>
      </c>
      <c r="Q33" s="1">
        <v>3</v>
      </c>
      <c r="R33" s="1" t="s">
        <v>20</v>
      </c>
      <c r="S33" s="1" t="s">
        <v>30</v>
      </c>
      <c r="T33" s="1">
        <v>45</v>
      </c>
      <c r="U33" s="3" t="s">
        <v>42</v>
      </c>
    </row>
    <row r="34" spans="1:21" x14ac:dyDescent="0.25">
      <c r="A34" s="2" t="s">
        <v>71</v>
      </c>
      <c r="B34" s="1">
        <v>53</v>
      </c>
      <c r="C34" s="14">
        <f t="shared" si="0"/>
        <v>53</v>
      </c>
      <c r="D34" s="1" t="s">
        <v>16</v>
      </c>
      <c r="E34" s="1" t="s">
        <v>49</v>
      </c>
      <c r="F34" s="1" t="s">
        <v>25</v>
      </c>
      <c r="G34" s="1" t="str">
        <f t="shared" si="1"/>
        <v>Associate</v>
      </c>
      <c r="H34" s="1">
        <v>42914</v>
      </c>
      <c r="I34" s="1">
        <f t="shared" si="2"/>
        <v>42914</v>
      </c>
      <c r="J34" s="1">
        <v>3</v>
      </c>
      <c r="K34" s="14">
        <f t="shared" si="3"/>
        <v>3</v>
      </c>
      <c r="L34" s="1">
        <v>1</v>
      </c>
      <c r="M34" s="1">
        <f t="shared" si="4"/>
        <v>1</v>
      </c>
      <c r="N34" s="1">
        <v>4</v>
      </c>
      <c r="O34" s="1">
        <f t="shared" si="5"/>
        <v>4</v>
      </c>
      <c r="P34" s="1" t="s">
        <v>19</v>
      </c>
      <c r="Q34" s="1">
        <v>16</v>
      </c>
      <c r="R34" s="1" t="s">
        <v>19</v>
      </c>
      <c r="S34" s="1" t="s">
        <v>30</v>
      </c>
      <c r="T34" s="1">
        <v>60</v>
      </c>
      <c r="U34" s="3" t="s">
        <v>22</v>
      </c>
    </row>
    <row r="35" spans="1:21" x14ac:dyDescent="0.25">
      <c r="A35" s="2" t="s">
        <v>72</v>
      </c>
      <c r="B35" s="1">
        <v>42</v>
      </c>
      <c r="C35" s="14">
        <f t="shared" si="0"/>
        <v>42</v>
      </c>
      <c r="D35" s="1" t="s">
        <v>28</v>
      </c>
      <c r="E35" s="1" t="s">
        <v>17</v>
      </c>
      <c r="F35" s="1" t="s">
        <v>35</v>
      </c>
      <c r="G35" s="1" t="str">
        <f t="shared" si="1"/>
        <v>Manager</v>
      </c>
      <c r="H35" s="1">
        <v>112339</v>
      </c>
      <c r="I35" s="1">
        <f t="shared" si="2"/>
        <v>112339</v>
      </c>
      <c r="J35" s="1">
        <v>3</v>
      </c>
      <c r="K35" s="14">
        <f t="shared" si="3"/>
        <v>3</v>
      </c>
      <c r="L35" s="1">
        <v>5</v>
      </c>
      <c r="M35" s="1">
        <f t="shared" si="4"/>
        <v>5</v>
      </c>
      <c r="N35" s="1">
        <v>3</v>
      </c>
      <c r="O35" s="1">
        <f t="shared" si="5"/>
        <v>3</v>
      </c>
      <c r="P35" s="1" t="s">
        <v>20</v>
      </c>
      <c r="Q35" s="1">
        <v>10</v>
      </c>
      <c r="R35" s="1" t="s">
        <v>20</v>
      </c>
      <c r="S35" s="1" t="s">
        <v>26</v>
      </c>
      <c r="T35" s="1">
        <v>42</v>
      </c>
      <c r="U35" s="3" t="s">
        <v>31</v>
      </c>
    </row>
    <row r="36" spans="1:21" x14ac:dyDescent="0.25">
      <c r="A36" s="2" t="s">
        <v>73</v>
      </c>
      <c r="B36" s="1">
        <v>29</v>
      </c>
      <c r="C36" s="14">
        <f t="shared" si="0"/>
        <v>29</v>
      </c>
      <c r="D36" s="1" t="s">
        <v>16</v>
      </c>
      <c r="E36" s="1" t="s">
        <v>49</v>
      </c>
      <c r="F36" s="1" t="s">
        <v>38</v>
      </c>
      <c r="G36" s="1" t="str">
        <f t="shared" si="1"/>
        <v>Lead</v>
      </c>
      <c r="H36" s="1">
        <v>67695</v>
      </c>
      <c r="I36" s="1">
        <f t="shared" si="2"/>
        <v>67695</v>
      </c>
      <c r="J36" s="1">
        <v>2</v>
      </c>
      <c r="K36" s="14">
        <f t="shared" si="3"/>
        <v>2</v>
      </c>
      <c r="L36" s="1">
        <v>5</v>
      </c>
      <c r="M36" s="1">
        <f t="shared" si="4"/>
        <v>5</v>
      </c>
      <c r="N36" s="1">
        <v>5</v>
      </c>
      <c r="O36" s="1">
        <f t="shared" si="5"/>
        <v>5</v>
      </c>
      <c r="P36" s="1" t="s">
        <v>20</v>
      </c>
      <c r="Q36" s="1">
        <v>12</v>
      </c>
      <c r="R36" s="1" t="s">
        <v>19</v>
      </c>
      <c r="S36" s="1" t="s">
        <v>30</v>
      </c>
      <c r="T36" s="1">
        <v>41</v>
      </c>
      <c r="U36" s="3" t="s">
        <v>44</v>
      </c>
    </row>
    <row r="37" spans="1:21" x14ac:dyDescent="0.25">
      <c r="A37" s="2" t="s">
        <v>74</v>
      </c>
      <c r="B37" s="1">
        <v>48</v>
      </c>
      <c r="C37" s="14">
        <f t="shared" si="0"/>
        <v>48</v>
      </c>
      <c r="D37" s="1" t="s">
        <v>28</v>
      </c>
      <c r="E37" s="1" t="s">
        <v>49</v>
      </c>
      <c r="F37" s="1" t="s">
        <v>33</v>
      </c>
      <c r="G37" s="1" t="str">
        <f t="shared" si="1"/>
        <v>Engineer</v>
      </c>
      <c r="H37" s="1">
        <v>75954</v>
      </c>
      <c r="I37" s="1">
        <f t="shared" si="2"/>
        <v>75954</v>
      </c>
      <c r="J37" s="1">
        <v>2</v>
      </c>
      <c r="K37" s="14">
        <f t="shared" si="3"/>
        <v>2</v>
      </c>
      <c r="L37" s="1">
        <v>5</v>
      </c>
      <c r="M37" s="1">
        <f t="shared" si="4"/>
        <v>5</v>
      </c>
      <c r="N37" s="1">
        <v>4</v>
      </c>
      <c r="O37" s="1">
        <f t="shared" si="5"/>
        <v>4</v>
      </c>
      <c r="P37" s="1" t="s">
        <v>19</v>
      </c>
      <c r="Q37" s="1">
        <v>2</v>
      </c>
      <c r="R37" s="1" t="s">
        <v>20</v>
      </c>
      <c r="S37" s="1" t="s">
        <v>26</v>
      </c>
      <c r="T37" s="1">
        <v>47</v>
      </c>
      <c r="U37" s="3" t="s">
        <v>22</v>
      </c>
    </row>
    <row r="38" spans="1:21" x14ac:dyDescent="0.25">
      <c r="A38" s="2" t="s">
        <v>75</v>
      </c>
      <c r="B38" s="1">
        <v>36</v>
      </c>
      <c r="C38" s="14">
        <f t="shared" si="0"/>
        <v>36</v>
      </c>
      <c r="D38" s="1" t="s">
        <v>28</v>
      </c>
      <c r="E38" s="1" t="s">
        <v>51</v>
      </c>
      <c r="F38" s="1" t="s">
        <v>41</v>
      </c>
      <c r="G38" s="1" t="str">
        <f t="shared" si="1"/>
        <v>Executive</v>
      </c>
      <c r="H38" s="1">
        <v>37313</v>
      </c>
      <c r="I38" s="1">
        <f t="shared" si="2"/>
        <v>37313</v>
      </c>
      <c r="J38" s="1">
        <v>1</v>
      </c>
      <c r="K38" s="14">
        <f t="shared" si="3"/>
        <v>1</v>
      </c>
      <c r="L38" s="1">
        <v>1</v>
      </c>
      <c r="M38" s="1">
        <f t="shared" si="4"/>
        <v>1</v>
      </c>
      <c r="N38" s="1">
        <v>2</v>
      </c>
      <c r="O38" s="1">
        <f t="shared" si="5"/>
        <v>2</v>
      </c>
      <c r="P38" s="1" t="s">
        <v>20</v>
      </c>
      <c r="Q38" s="1">
        <v>19</v>
      </c>
      <c r="R38" s="1" t="s">
        <v>19</v>
      </c>
      <c r="S38" s="1" t="s">
        <v>30</v>
      </c>
      <c r="T38" s="1">
        <v>58</v>
      </c>
      <c r="U38" s="3" t="s">
        <v>31</v>
      </c>
    </row>
    <row r="39" spans="1:21" x14ac:dyDescent="0.25">
      <c r="A39" s="2" t="s">
        <v>76</v>
      </c>
      <c r="B39" s="1">
        <v>33</v>
      </c>
      <c r="C39" s="14">
        <f t="shared" si="0"/>
        <v>33</v>
      </c>
      <c r="D39" s="1" t="s">
        <v>28</v>
      </c>
      <c r="E39" s="1" t="s">
        <v>49</v>
      </c>
      <c r="F39" s="1" t="s">
        <v>555</v>
      </c>
      <c r="G39" s="1" t="str">
        <f t="shared" si="1"/>
        <v>Engineer</v>
      </c>
      <c r="H39" s="1">
        <v>49979</v>
      </c>
      <c r="I39" s="1">
        <f t="shared" si="2"/>
        <v>49979</v>
      </c>
      <c r="J39" s="1">
        <v>2</v>
      </c>
      <c r="K39" s="14">
        <f t="shared" si="3"/>
        <v>2</v>
      </c>
      <c r="L39" s="1">
        <v>1</v>
      </c>
      <c r="M39" s="1">
        <f t="shared" si="4"/>
        <v>1</v>
      </c>
      <c r="N39" s="1">
        <v>1</v>
      </c>
      <c r="O39" s="1">
        <f t="shared" si="5"/>
        <v>1</v>
      </c>
      <c r="P39" s="1" t="s">
        <v>20</v>
      </c>
      <c r="Q39" s="1">
        <v>7</v>
      </c>
      <c r="R39" s="1" t="s">
        <v>19</v>
      </c>
      <c r="S39" s="1" t="s">
        <v>26</v>
      </c>
      <c r="T39" s="1">
        <v>71</v>
      </c>
      <c r="U39" s="3" t="s">
        <v>42</v>
      </c>
    </row>
    <row r="40" spans="1:21" x14ac:dyDescent="0.25">
      <c r="A40" s="2" t="s">
        <v>77</v>
      </c>
      <c r="B40" s="1">
        <v>24</v>
      </c>
      <c r="C40" s="14">
        <f t="shared" si="0"/>
        <v>24</v>
      </c>
      <c r="D40" s="1" t="s">
        <v>16</v>
      </c>
      <c r="E40" s="1" t="s">
        <v>40</v>
      </c>
      <c r="F40" s="1" t="s">
        <v>33</v>
      </c>
      <c r="G40" s="1" t="str">
        <f t="shared" si="1"/>
        <v>Engineer</v>
      </c>
      <c r="H40" s="1">
        <v>35477</v>
      </c>
      <c r="I40" s="1">
        <f t="shared" si="2"/>
        <v>35477</v>
      </c>
      <c r="J40" s="1">
        <v>4</v>
      </c>
      <c r="K40" s="14">
        <f t="shared" si="3"/>
        <v>4</v>
      </c>
      <c r="L40" s="1">
        <v>5</v>
      </c>
      <c r="M40" s="1">
        <f t="shared" si="4"/>
        <v>5</v>
      </c>
      <c r="N40" s="1">
        <v>5</v>
      </c>
      <c r="O40" s="1">
        <f t="shared" si="5"/>
        <v>5</v>
      </c>
      <c r="P40" s="1" t="s">
        <v>20</v>
      </c>
      <c r="Q40" s="1">
        <v>14</v>
      </c>
      <c r="R40" s="1" t="s">
        <v>20</v>
      </c>
      <c r="S40" s="1" t="s">
        <v>26</v>
      </c>
      <c r="T40" s="1">
        <v>62</v>
      </c>
      <c r="U40" s="3" t="s">
        <v>44</v>
      </c>
    </row>
    <row r="41" spans="1:21" x14ac:dyDescent="0.25">
      <c r="A41" s="2" t="s">
        <v>78</v>
      </c>
      <c r="B41" s="1">
        <v>51</v>
      </c>
      <c r="C41" s="14">
        <f t="shared" si="0"/>
        <v>51</v>
      </c>
      <c r="D41" s="1" t="s">
        <v>28</v>
      </c>
      <c r="E41" s="1" t="s">
        <v>29</v>
      </c>
      <c r="F41" s="1" t="s">
        <v>41</v>
      </c>
      <c r="G41" s="1" t="str">
        <f t="shared" si="1"/>
        <v>Executive</v>
      </c>
      <c r="H41" s="1">
        <v>101579</v>
      </c>
      <c r="I41" s="1">
        <f t="shared" si="2"/>
        <v>101579</v>
      </c>
      <c r="J41" s="1">
        <v>3</v>
      </c>
      <c r="K41" s="14">
        <f t="shared" si="3"/>
        <v>3</v>
      </c>
      <c r="L41" s="1">
        <v>5</v>
      </c>
      <c r="M41" s="1">
        <f t="shared" si="4"/>
        <v>5</v>
      </c>
      <c r="N41" s="1">
        <v>4</v>
      </c>
      <c r="O41" s="1">
        <f t="shared" si="5"/>
        <v>4</v>
      </c>
      <c r="P41" s="1" t="s">
        <v>19</v>
      </c>
      <c r="Q41" s="1">
        <v>8</v>
      </c>
      <c r="R41" s="1" t="s">
        <v>20</v>
      </c>
      <c r="S41" s="1" t="s">
        <v>21</v>
      </c>
      <c r="T41" s="1">
        <v>41</v>
      </c>
      <c r="U41" s="3" t="s">
        <v>44</v>
      </c>
    </row>
    <row r="42" spans="1:21" x14ac:dyDescent="0.25">
      <c r="A42" s="2" t="s">
        <v>79</v>
      </c>
      <c r="B42" s="1">
        <v>38</v>
      </c>
      <c r="C42" s="14">
        <f t="shared" si="0"/>
        <v>38</v>
      </c>
      <c r="D42" s="1" t="s">
        <v>28</v>
      </c>
      <c r="E42" s="1" t="s">
        <v>29</v>
      </c>
      <c r="F42" s="1" t="s">
        <v>556</v>
      </c>
      <c r="G42" s="1" t="str">
        <f t="shared" si="1"/>
        <v>Associate</v>
      </c>
      <c r="H42" s="1">
        <v>28561</v>
      </c>
      <c r="I42" s="1">
        <f t="shared" si="2"/>
        <v>28561</v>
      </c>
      <c r="J42" s="1">
        <v>2</v>
      </c>
      <c r="K42" s="14">
        <f t="shared" si="3"/>
        <v>2</v>
      </c>
      <c r="L42" s="1">
        <v>2</v>
      </c>
      <c r="M42" s="1">
        <f t="shared" si="4"/>
        <v>2</v>
      </c>
      <c r="N42" s="1">
        <v>2</v>
      </c>
      <c r="O42" s="1">
        <f t="shared" si="5"/>
        <v>2</v>
      </c>
      <c r="P42" s="1" t="s">
        <v>20</v>
      </c>
      <c r="Q42" s="1">
        <v>4</v>
      </c>
      <c r="R42" s="1" t="s">
        <v>19</v>
      </c>
      <c r="S42" s="1" t="s">
        <v>21</v>
      </c>
      <c r="T42" s="1">
        <v>58</v>
      </c>
      <c r="U42" s="3" t="s">
        <v>42</v>
      </c>
    </row>
    <row r="43" spans="1:21" x14ac:dyDescent="0.25">
      <c r="A43" s="2" t="s">
        <v>80</v>
      </c>
      <c r="B43" s="1">
        <v>42</v>
      </c>
      <c r="C43" s="14">
        <f t="shared" si="0"/>
        <v>42</v>
      </c>
      <c r="D43" s="1" t="s">
        <v>28</v>
      </c>
      <c r="E43" s="1" t="s">
        <v>49</v>
      </c>
      <c r="F43" s="1" t="s">
        <v>35</v>
      </c>
      <c r="G43" s="1" t="str">
        <f t="shared" si="1"/>
        <v>Manager</v>
      </c>
      <c r="H43" s="1">
        <v>45110</v>
      </c>
      <c r="I43" s="1">
        <f t="shared" si="2"/>
        <v>45110</v>
      </c>
      <c r="J43" s="1">
        <v>4</v>
      </c>
      <c r="K43" s="14">
        <f t="shared" si="3"/>
        <v>4</v>
      </c>
      <c r="L43" s="1">
        <v>4</v>
      </c>
      <c r="M43" s="1">
        <f t="shared" si="4"/>
        <v>4</v>
      </c>
      <c r="N43" s="1">
        <v>5</v>
      </c>
      <c r="O43" s="1">
        <f t="shared" si="5"/>
        <v>5</v>
      </c>
      <c r="P43" s="1" t="s">
        <v>19</v>
      </c>
      <c r="Q43" s="1">
        <v>18</v>
      </c>
      <c r="R43" s="1" t="s">
        <v>20</v>
      </c>
      <c r="S43" s="1" t="s">
        <v>30</v>
      </c>
      <c r="T43" s="1">
        <v>5</v>
      </c>
      <c r="U43" s="3" t="s">
        <v>36</v>
      </c>
    </row>
    <row r="44" spans="1:21" x14ac:dyDescent="0.25">
      <c r="A44" s="2" t="s">
        <v>81</v>
      </c>
      <c r="B44" s="1">
        <v>40</v>
      </c>
      <c r="C44" s="14">
        <f t="shared" si="0"/>
        <v>40</v>
      </c>
      <c r="D44" s="1" t="s">
        <v>28</v>
      </c>
      <c r="E44" s="1" t="s">
        <v>49</v>
      </c>
      <c r="F44" s="1" t="s">
        <v>25</v>
      </c>
      <c r="G44" s="1" t="str">
        <f t="shared" si="1"/>
        <v>Associate</v>
      </c>
      <c r="H44" s="1">
        <v>115978</v>
      </c>
      <c r="I44" s="1">
        <f t="shared" si="2"/>
        <v>115978</v>
      </c>
      <c r="J44" s="1">
        <v>5</v>
      </c>
      <c r="K44" s="14">
        <f t="shared" si="3"/>
        <v>5</v>
      </c>
      <c r="L44" s="1">
        <v>5</v>
      </c>
      <c r="M44" s="1">
        <f t="shared" si="4"/>
        <v>5</v>
      </c>
      <c r="N44" s="1">
        <v>2</v>
      </c>
      <c r="O44" s="1">
        <f t="shared" si="5"/>
        <v>2</v>
      </c>
      <c r="P44" s="1" t="s">
        <v>20</v>
      </c>
      <c r="Q44" s="1">
        <v>7</v>
      </c>
      <c r="R44" s="1" t="s">
        <v>20</v>
      </c>
      <c r="S44" s="1" t="s">
        <v>30</v>
      </c>
      <c r="T44" s="1">
        <v>67</v>
      </c>
      <c r="U44" s="3" t="s">
        <v>22</v>
      </c>
    </row>
    <row r="45" spans="1:21" x14ac:dyDescent="0.25">
      <c r="A45" s="2" t="s">
        <v>82</v>
      </c>
      <c r="B45" s="1">
        <v>45</v>
      </c>
      <c r="C45" s="14">
        <f t="shared" si="0"/>
        <v>45</v>
      </c>
      <c r="D45" s="1" t="s">
        <v>28</v>
      </c>
      <c r="E45" s="1" t="s">
        <v>17</v>
      </c>
      <c r="F45" s="1" t="s">
        <v>38</v>
      </c>
      <c r="G45" s="1" t="str">
        <f t="shared" si="1"/>
        <v>Lead</v>
      </c>
      <c r="H45" s="1">
        <v>70994</v>
      </c>
      <c r="I45" s="1">
        <f t="shared" si="2"/>
        <v>70994</v>
      </c>
      <c r="J45" s="1">
        <v>2</v>
      </c>
      <c r="K45" s="14">
        <f t="shared" si="3"/>
        <v>2</v>
      </c>
      <c r="L45" s="1">
        <v>4</v>
      </c>
      <c r="M45" s="1">
        <f t="shared" si="4"/>
        <v>4</v>
      </c>
      <c r="N45" s="1">
        <v>2</v>
      </c>
      <c r="O45" s="1">
        <f t="shared" si="5"/>
        <v>2</v>
      </c>
      <c r="P45" s="1" t="s">
        <v>19</v>
      </c>
      <c r="Q45" s="1">
        <v>12</v>
      </c>
      <c r="R45" s="1" t="s">
        <v>19</v>
      </c>
      <c r="S45" s="1" t="s">
        <v>21</v>
      </c>
      <c r="T45" s="1">
        <v>59</v>
      </c>
      <c r="U45" s="3" t="s">
        <v>44</v>
      </c>
    </row>
    <row r="46" spans="1:21" x14ac:dyDescent="0.25">
      <c r="A46" s="2" t="s">
        <v>83</v>
      </c>
      <c r="B46" s="1"/>
      <c r="C46" s="14">
        <f t="shared" si="0"/>
        <v>39</v>
      </c>
      <c r="D46" s="1" t="s">
        <v>16</v>
      </c>
      <c r="E46" s="1" t="s">
        <v>40</v>
      </c>
      <c r="F46" s="1" t="s">
        <v>557</v>
      </c>
      <c r="G46" s="1" t="str">
        <f t="shared" si="1"/>
        <v>Analyst</v>
      </c>
      <c r="H46" s="1">
        <v>67689</v>
      </c>
      <c r="I46" s="1">
        <f t="shared" si="2"/>
        <v>67689</v>
      </c>
      <c r="J46" s="1">
        <v>3</v>
      </c>
      <c r="K46" s="14">
        <f t="shared" si="3"/>
        <v>3</v>
      </c>
      <c r="L46" s="1">
        <v>2</v>
      </c>
      <c r="M46" s="1">
        <f t="shared" si="4"/>
        <v>2</v>
      </c>
      <c r="N46" s="1">
        <v>4</v>
      </c>
      <c r="O46" s="1">
        <f t="shared" si="5"/>
        <v>4</v>
      </c>
      <c r="P46" s="1" t="s">
        <v>20</v>
      </c>
      <c r="Q46" s="1">
        <v>10</v>
      </c>
      <c r="R46" s="1" t="s">
        <v>20</v>
      </c>
      <c r="S46" s="1" t="s">
        <v>30</v>
      </c>
      <c r="T46" s="1">
        <v>58</v>
      </c>
      <c r="U46" s="3" t="s">
        <v>36</v>
      </c>
    </row>
    <row r="47" spans="1:21" x14ac:dyDescent="0.25">
      <c r="A47" s="2" t="s">
        <v>84</v>
      </c>
      <c r="B47" s="1">
        <v>26</v>
      </c>
      <c r="C47" s="14">
        <f t="shared" si="0"/>
        <v>26</v>
      </c>
      <c r="D47" s="1" t="s">
        <v>28</v>
      </c>
      <c r="E47" s="1" t="s">
        <v>40</v>
      </c>
      <c r="F47" s="1" t="s">
        <v>38</v>
      </c>
      <c r="G47" s="1" t="str">
        <f t="shared" si="1"/>
        <v>Lead</v>
      </c>
      <c r="H47" s="1">
        <v>88702</v>
      </c>
      <c r="I47" s="1">
        <f t="shared" si="2"/>
        <v>88702</v>
      </c>
      <c r="J47" s="1">
        <v>1</v>
      </c>
      <c r="K47" s="14">
        <f t="shared" si="3"/>
        <v>1</v>
      </c>
      <c r="L47" s="1">
        <v>3</v>
      </c>
      <c r="M47" s="1">
        <f t="shared" si="4"/>
        <v>3</v>
      </c>
      <c r="N47" s="1">
        <v>2</v>
      </c>
      <c r="O47" s="1">
        <f t="shared" si="5"/>
        <v>2</v>
      </c>
      <c r="P47" s="1" t="s">
        <v>19</v>
      </c>
      <c r="Q47" s="1">
        <v>20</v>
      </c>
      <c r="R47" s="1" t="s">
        <v>19</v>
      </c>
      <c r="S47" s="1" t="s">
        <v>21</v>
      </c>
      <c r="T47" s="1">
        <v>36</v>
      </c>
      <c r="U47" s="3" t="s">
        <v>44</v>
      </c>
    </row>
    <row r="48" spans="1:21" x14ac:dyDescent="0.25">
      <c r="A48" s="2" t="s">
        <v>85</v>
      </c>
      <c r="B48" s="1">
        <v>22</v>
      </c>
      <c r="C48" s="14">
        <f t="shared" si="0"/>
        <v>22</v>
      </c>
      <c r="D48" s="1" t="s">
        <v>16</v>
      </c>
      <c r="E48" s="1" t="s">
        <v>51</v>
      </c>
      <c r="F48" s="1" t="s">
        <v>41</v>
      </c>
      <c r="G48" s="1" t="str">
        <f t="shared" si="1"/>
        <v>Executive</v>
      </c>
      <c r="H48" s="1">
        <v>80070</v>
      </c>
      <c r="I48" s="1">
        <f t="shared" si="2"/>
        <v>80070</v>
      </c>
      <c r="J48" s="1">
        <v>1</v>
      </c>
      <c r="K48" s="14">
        <f t="shared" si="3"/>
        <v>1</v>
      </c>
      <c r="L48" s="1">
        <v>5</v>
      </c>
      <c r="M48" s="1">
        <f t="shared" si="4"/>
        <v>5</v>
      </c>
      <c r="N48" s="1">
        <v>2</v>
      </c>
      <c r="O48" s="1">
        <f t="shared" si="5"/>
        <v>2</v>
      </c>
      <c r="P48" s="1" t="s">
        <v>20</v>
      </c>
      <c r="Q48" s="1">
        <v>8</v>
      </c>
      <c r="R48" s="1" t="s">
        <v>20</v>
      </c>
      <c r="S48" s="1" t="s">
        <v>21</v>
      </c>
      <c r="T48" s="1">
        <v>19</v>
      </c>
      <c r="U48" s="3" t="s">
        <v>44</v>
      </c>
    </row>
    <row r="49" spans="1:21" x14ac:dyDescent="0.25">
      <c r="A49" s="2" t="s">
        <v>86</v>
      </c>
      <c r="B49" s="1">
        <v>40</v>
      </c>
      <c r="C49" s="14">
        <f t="shared" si="0"/>
        <v>40</v>
      </c>
      <c r="D49" s="1" t="s">
        <v>16</v>
      </c>
      <c r="E49" s="1" t="s">
        <v>24</v>
      </c>
      <c r="F49" s="1" t="s">
        <v>35</v>
      </c>
      <c r="G49" s="1" t="str">
        <f t="shared" si="1"/>
        <v>Manager</v>
      </c>
      <c r="H49" s="1">
        <v>58888</v>
      </c>
      <c r="I49" s="1">
        <f t="shared" si="2"/>
        <v>58888</v>
      </c>
      <c r="J49" s="1">
        <v>5</v>
      </c>
      <c r="K49" s="14">
        <f t="shared" si="3"/>
        <v>5</v>
      </c>
      <c r="L49" s="1">
        <v>4</v>
      </c>
      <c r="M49" s="1">
        <f t="shared" si="4"/>
        <v>4</v>
      </c>
      <c r="N49" s="1">
        <v>4</v>
      </c>
      <c r="O49" s="1">
        <f t="shared" si="5"/>
        <v>4</v>
      </c>
      <c r="P49" s="1" t="s">
        <v>19</v>
      </c>
      <c r="Q49" s="1">
        <v>2</v>
      </c>
      <c r="R49" s="1" t="s">
        <v>19</v>
      </c>
      <c r="S49" s="1" t="s">
        <v>21</v>
      </c>
      <c r="T49" s="1">
        <v>43</v>
      </c>
      <c r="U49" s="3" t="s">
        <v>31</v>
      </c>
    </row>
    <row r="50" spans="1:21" x14ac:dyDescent="0.25">
      <c r="A50" s="2" t="s">
        <v>87</v>
      </c>
      <c r="B50" s="1">
        <v>28</v>
      </c>
      <c r="C50" s="14">
        <f t="shared" si="0"/>
        <v>28</v>
      </c>
      <c r="D50" s="1" t="s">
        <v>16</v>
      </c>
      <c r="E50" s="1" t="s">
        <v>29</v>
      </c>
      <c r="F50" s="1" t="s">
        <v>25</v>
      </c>
      <c r="G50" s="1" t="str">
        <f t="shared" si="1"/>
        <v>Associate</v>
      </c>
      <c r="H50" s="1">
        <v>74148</v>
      </c>
      <c r="I50" s="1">
        <f t="shared" si="2"/>
        <v>74148</v>
      </c>
      <c r="J50" s="1">
        <v>3</v>
      </c>
      <c r="K50" s="14">
        <f t="shared" si="3"/>
        <v>3</v>
      </c>
      <c r="L50" s="1">
        <v>1</v>
      </c>
      <c r="M50" s="1">
        <f t="shared" si="4"/>
        <v>1</v>
      </c>
      <c r="N50" s="1">
        <v>5</v>
      </c>
      <c r="O50" s="1">
        <f t="shared" si="5"/>
        <v>5</v>
      </c>
      <c r="P50" s="1" t="s">
        <v>20</v>
      </c>
      <c r="Q50" s="1">
        <v>0</v>
      </c>
      <c r="R50" s="1" t="s">
        <v>20</v>
      </c>
      <c r="S50" s="1" t="s">
        <v>30</v>
      </c>
      <c r="T50" s="1">
        <v>18</v>
      </c>
      <c r="U50" s="3" t="s">
        <v>42</v>
      </c>
    </row>
    <row r="51" spans="1:21" x14ac:dyDescent="0.25">
      <c r="A51" s="2" t="s">
        <v>88</v>
      </c>
      <c r="B51" s="1">
        <v>44</v>
      </c>
      <c r="C51" s="14">
        <f t="shared" si="0"/>
        <v>44</v>
      </c>
      <c r="D51" s="1" t="s">
        <v>28</v>
      </c>
      <c r="E51" s="1" t="s">
        <v>17</v>
      </c>
      <c r="F51" s="1" t="s">
        <v>41</v>
      </c>
      <c r="G51" s="1" t="str">
        <f t="shared" si="1"/>
        <v>Executive</v>
      </c>
      <c r="H51" s="1">
        <v>75080</v>
      </c>
      <c r="I51" s="1">
        <f t="shared" si="2"/>
        <v>75080</v>
      </c>
      <c r="J51" s="1">
        <v>2</v>
      </c>
      <c r="K51" s="14">
        <f t="shared" si="3"/>
        <v>2</v>
      </c>
      <c r="L51" s="1">
        <v>5</v>
      </c>
      <c r="M51" s="1">
        <f t="shared" si="4"/>
        <v>5</v>
      </c>
      <c r="N51" s="1">
        <v>3</v>
      </c>
      <c r="O51" s="1">
        <f t="shared" si="5"/>
        <v>3</v>
      </c>
      <c r="P51" s="1" t="s">
        <v>20</v>
      </c>
      <c r="Q51" s="1">
        <v>14</v>
      </c>
      <c r="R51" s="1" t="s">
        <v>20</v>
      </c>
      <c r="S51" s="1" t="s">
        <v>26</v>
      </c>
      <c r="T51" s="1">
        <v>80</v>
      </c>
      <c r="U51" s="3" t="s">
        <v>36</v>
      </c>
    </row>
    <row r="52" spans="1:21" x14ac:dyDescent="0.25">
      <c r="A52" s="2" t="s">
        <v>89</v>
      </c>
      <c r="B52" s="1">
        <v>41</v>
      </c>
      <c r="C52" s="14">
        <f t="shared" si="0"/>
        <v>41</v>
      </c>
      <c r="D52" s="1" t="s">
        <v>16</v>
      </c>
      <c r="E52" s="1" t="s">
        <v>40</v>
      </c>
      <c r="F52" s="1" t="s">
        <v>18</v>
      </c>
      <c r="G52" s="1" t="str">
        <f t="shared" si="1"/>
        <v>Analyst</v>
      </c>
      <c r="H52" s="1">
        <v>77087</v>
      </c>
      <c r="I52" s="1">
        <f t="shared" si="2"/>
        <v>77087</v>
      </c>
      <c r="J52" s="1">
        <v>2</v>
      </c>
      <c r="K52" s="14">
        <f t="shared" si="3"/>
        <v>2</v>
      </c>
      <c r="L52" s="1"/>
      <c r="M52" s="1">
        <f t="shared" si="4"/>
        <v>3</v>
      </c>
      <c r="N52" s="1">
        <v>5</v>
      </c>
      <c r="O52" s="1">
        <f t="shared" si="5"/>
        <v>5</v>
      </c>
      <c r="P52" s="1" t="s">
        <v>20</v>
      </c>
      <c r="Q52" s="1">
        <v>10</v>
      </c>
      <c r="R52" s="1" t="s">
        <v>19</v>
      </c>
      <c r="S52" s="1" t="s">
        <v>30</v>
      </c>
      <c r="T52" s="1">
        <v>46</v>
      </c>
      <c r="U52" s="3" t="s">
        <v>44</v>
      </c>
    </row>
    <row r="53" spans="1:21" x14ac:dyDescent="0.25">
      <c r="A53" s="2" t="s">
        <v>90</v>
      </c>
      <c r="B53" s="1">
        <v>52</v>
      </c>
      <c r="C53" s="14">
        <f t="shared" si="0"/>
        <v>52</v>
      </c>
      <c r="D53" s="1" t="s">
        <v>16</v>
      </c>
      <c r="E53" s="1" t="s">
        <v>29</v>
      </c>
      <c r="F53" s="1" t="s">
        <v>18</v>
      </c>
      <c r="G53" s="1" t="str">
        <f t="shared" si="1"/>
        <v>Analyst</v>
      </c>
      <c r="H53" s="1">
        <v>62608</v>
      </c>
      <c r="I53" s="1">
        <f t="shared" si="2"/>
        <v>62608</v>
      </c>
      <c r="J53" s="1">
        <v>3</v>
      </c>
      <c r="K53" s="14">
        <f t="shared" si="3"/>
        <v>3</v>
      </c>
      <c r="L53" s="1">
        <v>5</v>
      </c>
      <c r="M53" s="1">
        <f t="shared" si="4"/>
        <v>5</v>
      </c>
      <c r="N53" s="1">
        <v>3</v>
      </c>
      <c r="O53" s="1">
        <f t="shared" si="5"/>
        <v>3</v>
      </c>
      <c r="P53" s="1" t="s">
        <v>19</v>
      </c>
      <c r="Q53" s="1">
        <v>16</v>
      </c>
      <c r="R53" s="1" t="s">
        <v>19</v>
      </c>
      <c r="S53" s="1" t="s">
        <v>21</v>
      </c>
      <c r="T53" s="1">
        <v>35</v>
      </c>
      <c r="U53" s="3" t="s">
        <v>42</v>
      </c>
    </row>
    <row r="54" spans="1:21" x14ac:dyDescent="0.25">
      <c r="A54" s="2" t="s">
        <v>91</v>
      </c>
      <c r="B54" s="1">
        <v>52</v>
      </c>
      <c r="C54" s="14">
        <f t="shared" si="0"/>
        <v>52</v>
      </c>
      <c r="D54" s="1" t="s">
        <v>16</v>
      </c>
      <c r="E54" s="1" t="s">
        <v>17</v>
      </c>
      <c r="F54" s="1" t="s">
        <v>33</v>
      </c>
      <c r="G54" s="1" t="str">
        <f t="shared" si="1"/>
        <v>Engineer</v>
      </c>
      <c r="H54" s="1">
        <v>102659</v>
      </c>
      <c r="I54" s="1">
        <f t="shared" si="2"/>
        <v>102659</v>
      </c>
      <c r="J54" s="1">
        <v>4</v>
      </c>
      <c r="K54" s="14">
        <f t="shared" si="3"/>
        <v>4</v>
      </c>
      <c r="L54" s="1">
        <v>4</v>
      </c>
      <c r="M54" s="1">
        <f t="shared" si="4"/>
        <v>4</v>
      </c>
      <c r="N54" s="1">
        <v>1</v>
      </c>
      <c r="O54" s="1">
        <f t="shared" si="5"/>
        <v>1</v>
      </c>
      <c r="P54" s="1" t="s">
        <v>19</v>
      </c>
      <c r="Q54" s="1">
        <v>9</v>
      </c>
      <c r="R54" s="1" t="s">
        <v>19</v>
      </c>
      <c r="S54" s="1" t="s">
        <v>30</v>
      </c>
      <c r="T54" s="1">
        <v>36</v>
      </c>
      <c r="U54" s="3" t="s">
        <v>36</v>
      </c>
    </row>
    <row r="55" spans="1:21" x14ac:dyDescent="0.25">
      <c r="A55" s="2" t="s">
        <v>92</v>
      </c>
      <c r="B55" s="1">
        <v>58</v>
      </c>
      <c r="C55" s="14">
        <f t="shared" si="0"/>
        <v>58</v>
      </c>
      <c r="D55" s="1" t="s">
        <v>28</v>
      </c>
      <c r="E55" s="1" t="s">
        <v>49</v>
      </c>
      <c r="F55" s="1" t="s">
        <v>25</v>
      </c>
      <c r="G55" s="1" t="str">
        <f t="shared" si="1"/>
        <v>Associate</v>
      </c>
      <c r="H55" s="1">
        <v>87588</v>
      </c>
      <c r="I55" s="1">
        <f t="shared" si="2"/>
        <v>87588</v>
      </c>
      <c r="J55" s="1">
        <v>3</v>
      </c>
      <c r="K55" s="14">
        <f t="shared" si="3"/>
        <v>3</v>
      </c>
      <c r="L55" s="1">
        <v>4</v>
      </c>
      <c r="M55" s="1">
        <f t="shared" si="4"/>
        <v>4</v>
      </c>
      <c r="N55" s="1">
        <v>5</v>
      </c>
      <c r="O55" s="1">
        <f t="shared" si="5"/>
        <v>5</v>
      </c>
      <c r="P55" s="1" t="s">
        <v>20</v>
      </c>
      <c r="Q55" s="1">
        <v>11</v>
      </c>
      <c r="R55" s="1" t="s">
        <v>20</v>
      </c>
      <c r="S55" s="1" t="s">
        <v>30</v>
      </c>
      <c r="T55" s="1">
        <v>44</v>
      </c>
      <c r="U55" s="3" t="s">
        <v>36</v>
      </c>
    </row>
    <row r="56" spans="1:21" x14ac:dyDescent="0.25">
      <c r="A56" s="2" t="s">
        <v>93</v>
      </c>
      <c r="B56" s="1">
        <v>35</v>
      </c>
      <c r="C56" s="14">
        <f t="shared" si="0"/>
        <v>35</v>
      </c>
      <c r="D56" s="1" t="s">
        <v>16</v>
      </c>
      <c r="E56" s="1" t="s">
        <v>17</v>
      </c>
      <c r="F56" s="1" t="s">
        <v>41</v>
      </c>
      <c r="G56" s="1" t="str">
        <f t="shared" si="1"/>
        <v>Executive</v>
      </c>
      <c r="H56" s="1">
        <v>59359</v>
      </c>
      <c r="I56" s="1">
        <f t="shared" si="2"/>
        <v>59359</v>
      </c>
      <c r="J56" s="1">
        <v>1</v>
      </c>
      <c r="K56" s="14">
        <f t="shared" si="3"/>
        <v>1</v>
      </c>
      <c r="L56" s="1">
        <v>5</v>
      </c>
      <c r="M56" s="1">
        <f t="shared" si="4"/>
        <v>5</v>
      </c>
      <c r="N56" s="1">
        <v>2</v>
      </c>
      <c r="O56" s="1">
        <f t="shared" si="5"/>
        <v>2</v>
      </c>
      <c r="P56" s="1" t="s">
        <v>19</v>
      </c>
      <c r="Q56" s="1">
        <v>6</v>
      </c>
      <c r="R56" s="1" t="s">
        <v>20</v>
      </c>
      <c r="S56" s="1" t="s">
        <v>30</v>
      </c>
      <c r="T56" s="1">
        <v>80</v>
      </c>
      <c r="U56" s="3" t="s">
        <v>31</v>
      </c>
    </row>
    <row r="57" spans="1:21" x14ac:dyDescent="0.25">
      <c r="A57" s="2" t="s">
        <v>94</v>
      </c>
      <c r="B57" s="1">
        <v>39</v>
      </c>
      <c r="C57" s="14">
        <f t="shared" si="0"/>
        <v>39</v>
      </c>
      <c r="D57" s="1" t="s">
        <v>16</v>
      </c>
      <c r="E57" s="1" t="s">
        <v>51</v>
      </c>
      <c r="F57" s="1" t="s">
        <v>18</v>
      </c>
      <c r="G57" s="1" t="str">
        <f t="shared" si="1"/>
        <v>Analyst</v>
      </c>
      <c r="H57" s="1">
        <v>47816</v>
      </c>
      <c r="I57" s="1">
        <f t="shared" si="2"/>
        <v>47816</v>
      </c>
      <c r="J57" s="1">
        <v>3</v>
      </c>
      <c r="K57" s="14">
        <f t="shared" si="3"/>
        <v>3</v>
      </c>
      <c r="L57" s="1">
        <v>2</v>
      </c>
      <c r="M57" s="1">
        <f t="shared" si="4"/>
        <v>2</v>
      </c>
      <c r="N57" s="1">
        <v>3</v>
      </c>
      <c r="O57" s="1">
        <f t="shared" si="5"/>
        <v>3</v>
      </c>
      <c r="P57" s="1" t="s">
        <v>19</v>
      </c>
      <c r="Q57" s="1">
        <v>17</v>
      </c>
      <c r="R57" s="1" t="s">
        <v>19</v>
      </c>
      <c r="S57" s="1" t="s">
        <v>30</v>
      </c>
      <c r="T57" s="1">
        <v>10</v>
      </c>
      <c r="U57" s="3" t="s">
        <v>22</v>
      </c>
    </row>
    <row r="58" spans="1:21" x14ac:dyDescent="0.25">
      <c r="A58" s="2" t="s">
        <v>95</v>
      </c>
      <c r="B58" s="1">
        <v>56</v>
      </c>
      <c r="C58" s="14">
        <f t="shared" si="0"/>
        <v>56</v>
      </c>
      <c r="D58" s="1" t="s">
        <v>28</v>
      </c>
      <c r="E58" s="1" t="s">
        <v>17</v>
      </c>
      <c r="F58" s="1" t="s">
        <v>41</v>
      </c>
      <c r="G58" s="1" t="str">
        <f t="shared" si="1"/>
        <v>Executive</v>
      </c>
      <c r="H58" s="1">
        <v>101606</v>
      </c>
      <c r="I58" s="1">
        <f t="shared" si="2"/>
        <v>101606</v>
      </c>
      <c r="J58" s="1"/>
      <c r="K58" s="14">
        <f t="shared" si="3"/>
        <v>3</v>
      </c>
      <c r="L58" s="1">
        <v>1</v>
      </c>
      <c r="M58" s="1">
        <f t="shared" si="4"/>
        <v>1</v>
      </c>
      <c r="N58" s="1">
        <v>1</v>
      </c>
      <c r="O58" s="1">
        <f t="shared" si="5"/>
        <v>1</v>
      </c>
      <c r="P58" s="1" t="s">
        <v>20</v>
      </c>
      <c r="Q58" s="1">
        <v>15</v>
      </c>
      <c r="R58" s="1" t="s">
        <v>20</v>
      </c>
      <c r="S58" s="1" t="s">
        <v>30</v>
      </c>
      <c r="T58" s="1">
        <v>48</v>
      </c>
      <c r="U58" s="3" t="s">
        <v>44</v>
      </c>
    </row>
    <row r="59" spans="1:21" x14ac:dyDescent="0.25">
      <c r="A59" s="2" t="s">
        <v>96</v>
      </c>
      <c r="B59" s="1">
        <v>24</v>
      </c>
      <c r="C59" s="14">
        <f t="shared" si="0"/>
        <v>24</v>
      </c>
      <c r="D59" s="1" t="s">
        <v>28</v>
      </c>
      <c r="E59" s="1" t="s">
        <v>49</v>
      </c>
      <c r="F59" s="1" t="s">
        <v>35</v>
      </c>
      <c r="G59" s="1" t="str">
        <f t="shared" si="1"/>
        <v>Manager</v>
      </c>
      <c r="H59" s="1">
        <v>26564</v>
      </c>
      <c r="I59" s="1">
        <f t="shared" si="2"/>
        <v>26564</v>
      </c>
      <c r="J59" s="1">
        <v>4</v>
      </c>
      <c r="K59" s="14">
        <f t="shared" si="3"/>
        <v>4</v>
      </c>
      <c r="L59" s="1">
        <v>4</v>
      </c>
      <c r="M59" s="1">
        <f t="shared" si="4"/>
        <v>4</v>
      </c>
      <c r="N59" s="1">
        <v>1</v>
      </c>
      <c r="O59" s="1">
        <f t="shared" si="5"/>
        <v>1</v>
      </c>
      <c r="P59" s="1" t="s">
        <v>19</v>
      </c>
      <c r="Q59" s="1">
        <v>4</v>
      </c>
      <c r="R59" s="1" t="s">
        <v>19</v>
      </c>
      <c r="S59" s="1" t="s">
        <v>26</v>
      </c>
      <c r="T59" s="1">
        <v>43</v>
      </c>
      <c r="U59" s="3" t="s">
        <v>22</v>
      </c>
    </row>
    <row r="60" spans="1:21" x14ac:dyDescent="0.25">
      <c r="A60" s="2" t="s">
        <v>97</v>
      </c>
      <c r="B60" s="1">
        <v>36</v>
      </c>
      <c r="C60" s="14">
        <f t="shared" si="0"/>
        <v>36</v>
      </c>
      <c r="D60" s="1" t="s">
        <v>16</v>
      </c>
      <c r="E60" s="1" t="s">
        <v>24</v>
      </c>
      <c r="F60" s="1" t="s">
        <v>33</v>
      </c>
      <c r="G60" s="1" t="str">
        <f t="shared" si="1"/>
        <v>Engineer</v>
      </c>
      <c r="H60" s="1">
        <v>97471</v>
      </c>
      <c r="I60" s="1">
        <f t="shared" si="2"/>
        <v>97471</v>
      </c>
      <c r="J60" s="1">
        <v>5</v>
      </c>
      <c r="K60" s="14">
        <f t="shared" si="3"/>
        <v>5</v>
      </c>
      <c r="L60" s="1">
        <v>5</v>
      </c>
      <c r="M60" s="1">
        <f t="shared" si="4"/>
        <v>5</v>
      </c>
      <c r="N60" s="1">
        <v>2</v>
      </c>
      <c r="O60" s="1">
        <f t="shared" si="5"/>
        <v>2</v>
      </c>
      <c r="P60" s="1" t="s">
        <v>20</v>
      </c>
      <c r="Q60" s="1">
        <v>14</v>
      </c>
      <c r="R60" s="1" t="s">
        <v>20</v>
      </c>
      <c r="S60" s="1" t="s">
        <v>30</v>
      </c>
      <c r="T60" s="1">
        <v>80</v>
      </c>
      <c r="U60" s="3" t="s">
        <v>42</v>
      </c>
    </row>
    <row r="61" spans="1:21" x14ac:dyDescent="0.25">
      <c r="A61" s="2" t="s">
        <v>98</v>
      </c>
      <c r="B61" s="1">
        <v>40</v>
      </c>
      <c r="C61" s="14">
        <f t="shared" si="0"/>
        <v>40</v>
      </c>
      <c r="D61" s="1" t="s">
        <v>16</v>
      </c>
      <c r="E61" s="1" t="s">
        <v>24</v>
      </c>
      <c r="F61" s="1" t="s">
        <v>38</v>
      </c>
      <c r="G61" s="1" t="str">
        <f t="shared" si="1"/>
        <v>Lead</v>
      </c>
      <c r="H61" s="1">
        <v>31006</v>
      </c>
      <c r="I61" s="1">
        <f t="shared" si="2"/>
        <v>31006</v>
      </c>
      <c r="J61" s="1">
        <v>2</v>
      </c>
      <c r="K61" s="14">
        <f t="shared" si="3"/>
        <v>2</v>
      </c>
      <c r="L61" s="1">
        <v>2</v>
      </c>
      <c r="M61" s="1">
        <f t="shared" si="4"/>
        <v>2</v>
      </c>
      <c r="N61" s="1">
        <v>3</v>
      </c>
      <c r="O61" s="1">
        <f t="shared" si="5"/>
        <v>3</v>
      </c>
      <c r="P61" s="1" t="s">
        <v>19</v>
      </c>
      <c r="Q61" s="1">
        <v>5</v>
      </c>
      <c r="R61" s="1" t="s">
        <v>19</v>
      </c>
      <c r="S61" s="1" t="s">
        <v>21</v>
      </c>
      <c r="T61" s="1">
        <v>75</v>
      </c>
      <c r="U61" s="3" t="s">
        <v>22</v>
      </c>
    </row>
    <row r="62" spans="1:21" x14ac:dyDescent="0.25">
      <c r="A62" s="2" t="s">
        <v>99</v>
      </c>
      <c r="B62" s="1">
        <v>31</v>
      </c>
      <c r="C62" s="14">
        <f t="shared" si="0"/>
        <v>31</v>
      </c>
      <c r="D62" s="1" t="s">
        <v>16</v>
      </c>
      <c r="E62" s="1" t="s">
        <v>49</v>
      </c>
      <c r="F62" s="1" t="s">
        <v>558</v>
      </c>
      <c r="G62" s="1" t="str">
        <f t="shared" si="1"/>
        <v>Engneer</v>
      </c>
      <c r="H62" s="1">
        <v>108357</v>
      </c>
      <c r="I62" s="1">
        <f t="shared" si="2"/>
        <v>108357</v>
      </c>
      <c r="J62" s="1">
        <v>5</v>
      </c>
      <c r="K62" s="14">
        <f t="shared" si="3"/>
        <v>5</v>
      </c>
      <c r="L62" s="1">
        <v>4</v>
      </c>
      <c r="M62" s="1">
        <f t="shared" si="4"/>
        <v>4</v>
      </c>
      <c r="N62" s="1">
        <v>3</v>
      </c>
      <c r="O62" s="1">
        <f t="shared" si="5"/>
        <v>3</v>
      </c>
      <c r="P62" s="1" t="s">
        <v>19</v>
      </c>
      <c r="Q62" s="1">
        <v>7</v>
      </c>
      <c r="R62" s="1" t="s">
        <v>20</v>
      </c>
      <c r="S62" s="1" t="s">
        <v>26</v>
      </c>
      <c r="T62" s="1">
        <v>41</v>
      </c>
      <c r="U62" s="3" t="s">
        <v>42</v>
      </c>
    </row>
    <row r="63" spans="1:21" x14ac:dyDescent="0.25">
      <c r="A63" s="2" t="s">
        <v>100</v>
      </c>
      <c r="B63" s="1">
        <v>25</v>
      </c>
      <c r="C63" s="14">
        <f t="shared" si="0"/>
        <v>25</v>
      </c>
      <c r="D63" s="1" t="s">
        <v>16</v>
      </c>
      <c r="E63" s="1" t="s">
        <v>29</v>
      </c>
      <c r="F63" s="1" t="s">
        <v>38</v>
      </c>
      <c r="G63" s="1" t="str">
        <f t="shared" si="1"/>
        <v>Lead</v>
      </c>
      <c r="H63" s="1">
        <v>95304</v>
      </c>
      <c r="I63" s="1">
        <f t="shared" si="2"/>
        <v>95304</v>
      </c>
      <c r="J63" s="1">
        <v>2</v>
      </c>
      <c r="K63" s="14">
        <f t="shared" si="3"/>
        <v>2</v>
      </c>
      <c r="L63" s="1">
        <v>4</v>
      </c>
      <c r="M63" s="1">
        <f t="shared" si="4"/>
        <v>4</v>
      </c>
      <c r="N63" s="1">
        <v>1</v>
      </c>
      <c r="O63" s="1">
        <f t="shared" si="5"/>
        <v>1</v>
      </c>
      <c r="P63" s="1" t="s">
        <v>19</v>
      </c>
      <c r="Q63" s="1">
        <v>20</v>
      </c>
      <c r="R63" s="1" t="s">
        <v>19</v>
      </c>
      <c r="S63" s="1" t="s">
        <v>30</v>
      </c>
      <c r="T63" s="1">
        <v>23</v>
      </c>
      <c r="U63" s="3" t="s">
        <v>22</v>
      </c>
    </row>
    <row r="64" spans="1:21" x14ac:dyDescent="0.25">
      <c r="A64" s="2" t="s">
        <v>101</v>
      </c>
      <c r="B64" s="1">
        <v>24</v>
      </c>
      <c r="C64" s="14">
        <f t="shared" si="0"/>
        <v>24</v>
      </c>
      <c r="D64" s="1" t="s">
        <v>16</v>
      </c>
      <c r="E64" s="1" t="s">
        <v>29</v>
      </c>
      <c r="F64" s="1" t="s">
        <v>25</v>
      </c>
      <c r="G64" s="1" t="str">
        <f t="shared" si="1"/>
        <v>Associate</v>
      </c>
      <c r="H64" s="1">
        <v>116167</v>
      </c>
      <c r="I64" s="1">
        <f t="shared" si="2"/>
        <v>116167</v>
      </c>
      <c r="J64" s="1">
        <v>5</v>
      </c>
      <c r="K64" s="14">
        <f t="shared" si="3"/>
        <v>5</v>
      </c>
      <c r="L64" s="1">
        <v>3</v>
      </c>
      <c r="M64" s="1">
        <f t="shared" si="4"/>
        <v>3</v>
      </c>
      <c r="N64" s="1">
        <v>4</v>
      </c>
      <c r="O64" s="1">
        <f t="shared" si="5"/>
        <v>4</v>
      </c>
      <c r="P64" s="1" t="s">
        <v>19</v>
      </c>
      <c r="Q64" s="1">
        <v>14</v>
      </c>
      <c r="R64" s="1" t="s">
        <v>20</v>
      </c>
      <c r="S64" s="1" t="s">
        <v>26</v>
      </c>
      <c r="T64" s="1">
        <v>56</v>
      </c>
      <c r="U64" s="3" t="s">
        <v>36</v>
      </c>
    </row>
    <row r="65" spans="1:21" x14ac:dyDescent="0.25">
      <c r="A65" s="2" t="s">
        <v>102</v>
      </c>
      <c r="B65" s="1">
        <v>53</v>
      </c>
      <c r="C65" s="14">
        <f t="shared" si="0"/>
        <v>53</v>
      </c>
      <c r="D65" s="1" t="s">
        <v>28</v>
      </c>
      <c r="E65" s="1" t="s">
        <v>49</v>
      </c>
      <c r="F65" s="1" t="s">
        <v>35</v>
      </c>
      <c r="G65" s="1" t="str">
        <f t="shared" si="1"/>
        <v>Manager</v>
      </c>
      <c r="H65" s="1">
        <v>96385</v>
      </c>
      <c r="I65" s="1">
        <f t="shared" si="2"/>
        <v>96385</v>
      </c>
      <c r="J65" s="1">
        <v>1</v>
      </c>
      <c r="K65" s="14">
        <f t="shared" si="3"/>
        <v>1</v>
      </c>
      <c r="L65" s="1">
        <v>4</v>
      </c>
      <c r="M65" s="1">
        <f t="shared" si="4"/>
        <v>4</v>
      </c>
      <c r="N65" s="1">
        <v>3</v>
      </c>
      <c r="O65" s="1">
        <f t="shared" si="5"/>
        <v>3</v>
      </c>
      <c r="P65" s="1" t="s">
        <v>20</v>
      </c>
      <c r="Q65" s="1">
        <v>0</v>
      </c>
      <c r="R65" s="1" t="s">
        <v>19</v>
      </c>
      <c r="S65" s="1" t="s">
        <v>21</v>
      </c>
      <c r="T65" s="1">
        <v>78</v>
      </c>
      <c r="U65" s="3" t="s">
        <v>31</v>
      </c>
    </row>
    <row r="66" spans="1:21" x14ac:dyDescent="0.25">
      <c r="A66" s="2" t="s">
        <v>103</v>
      </c>
      <c r="B66" s="1">
        <v>22</v>
      </c>
      <c r="C66" s="14">
        <f t="shared" ref="C66:C129" si="6">IF(B66="",39,B66)</f>
        <v>22</v>
      </c>
      <c r="D66" s="1" t="s">
        <v>28</v>
      </c>
      <c r="E66" s="1" t="s">
        <v>24</v>
      </c>
      <c r="F66" s="1" t="s">
        <v>35</v>
      </c>
      <c r="G66" s="1" t="str">
        <f t="shared" ref="G66:G129" si="7">PROPER(F66)</f>
        <v>Manager</v>
      </c>
      <c r="H66" s="1">
        <v>118022</v>
      </c>
      <c r="I66" s="1">
        <f t="shared" ref="I66:I129" si="8">IF(H66="",68925,H66)</f>
        <v>118022</v>
      </c>
      <c r="J66" s="1">
        <v>2</v>
      </c>
      <c r="K66" s="14">
        <f t="shared" ref="K66:K129" si="9">IF(J66="",3,J66)</f>
        <v>2</v>
      </c>
      <c r="L66" s="1">
        <v>4</v>
      </c>
      <c r="M66" s="1">
        <f t="shared" ref="M66:M129" si="10">IF(L66="",3,L66)</f>
        <v>4</v>
      </c>
      <c r="N66" s="1">
        <v>5</v>
      </c>
      <c r="O66" s="1">
        <f t="shared" ref="O66:O129" si="11">IF(N66="",3,N66)</f>
        <v>5</v>
      </c>
      <c r="P66" s="1" t="s">
        <v>20</v>
      </c>
      <c r="Q66" s="1">
        <v>8</v>
      </c>
      <c r="R66" s="1" t="s">
        <v>19</v>
      </c>
      <c r="S66" s="1" t="s">
        <v>26</v>
      </c>
      <c r="T66" s="1">
        <v>60</v>
      </c>
      <c r="U66" s="3" t="s">
        <v>42</v>
      </c>
    </row>
    <row r="67" spans="1:21" x14ac:dyDescent="0.25">
      <c r="A67" s="2" t="s">
        <v>104</v>
      </c>
      <c r="B67" s="1">
        <v>26</v>
      </c>
      <c r="C67" s="14">
        <f t="shared" si="6"/>
        <v>26</v>
      </c>
      <c r="D67" s="1" t="s">
        <v>28</v>
      </c>
      <c r="E67" s="1" t="s">
        <v>29</v>
      </c>
      <c r="F67" s="1" t="s">
        <v>33</v>
      </c>
      <c r="G67" s="1" t="str">
        <f t="shared" si="7"/>
        <v>Engineer</v>
      </c>
      <c r="H67" s="1">
        <v>61687</v>
      </c>
      <c r="I67" s="1">
        <f t="shared" si="8"/>
        <v>61687</v>
      </c>
      <c r="J67" s="1"/>
      <c r="K67" s="14">
        <f t="shared" si="9"/>
        <v>3</v>
      </c>
      <c r="L67" s="1">
        <v>1</v>
      </c>
      <c r="M67" s="1">
        <f t="shared" si="10"/>
        <v>1</v>
      </c>
      <c r="N67" s="1">
        <v>2</v>
      </c>
      <c r="O67" s="1">
        <f t="shared" si="11"/>
        <v>2</v>
      </c>
      <c r="P67" s="1" t="s">
        <v>20</v>
      </c>
      <c r="Q67" s="1">
        <v>13</v>
      </c>
      <c r="R67" s="1" t="s">
        <v>20</v>
      </c>
      <c r="S67" s="1" t="s">
        <v>30</v>
      </c>
      <c r="T67" s="1">
        <v>56</v>
      </c>
      <c r="U67" s="3" t="s">
        <v>31</v>
      </c>
    </row>
    <row r="68" spans="1:21" x14ac:dyDescent="0.25">
      <c r="A68" s="2" t="s">
        <v>105</v>
      </c>
      <c r="B68" s="1">
        <v>23</v>
      </c>
      <c r="C68" s="14">
        <f t="shared" si="6"/>
        <v>23</v>
      </c>
      <c r="D68" s="1" t="s">
        <v>28</v>
      </c>
      <c r="E68" s="1" t="s">
        <v>40</v>
      </c>
      <c r="F68" s="1" t="s">
        <v>18</v>
      </c>
      <c r="G68" s="1" t="str">
        <f t="shared" si="7"/>
        <v>Analyst</v>
      </c>
      <c r="H68" s="1">
        <v>51082</v>
      </c>
      <c r="I68" s="1">
        <f t="shared" si="8"/>
        <v>51082</v>
      </c>
      <c r="J68" s="1">
        <v>3</v>
      </c>
      <c r="K68" s="14">
        <f t="shared" si="9"/>
        <v>3</v>
      </c>
      <c r="L68" s="1">
        <v>1</v>
      </c>
      <c r="M68" s="1">
        <f t="shared" si="10"/>
        <v>1</v>
      </c>
      <c r="N68" s="1">
        <v>4</v>
      </c>
      <c r="O68" s="1">
        <f t="shared" si="11"/>
        <v>4</v>
      </c>
      <c r="P68" s="1" t="s">
        <v>19</v>
      </c>
      <c r="Q68" s="1">
        <v>17</v>
      </c>
      <c r="R68" s="1" t="s">
        <v>20</v>
      </c>
      <c r="S68" s="1" t="s">
        <v>30</v>
      </c>
      <c r="T68" s="1">
        <v>11</v>
      </c>
      <c r="U68" s="3" t="s">
        <v>44</v>
      </c>
    </row>
    <row r="69" spans="1:21" x14ac:dyDescent="0.25">
      <c r="A69" s="2" t="s">
        <v>106</v>
      </c>
      <c r="B69" s="1">
        <v>54</v>
      </c>
      <c r="C69" s="14">
        <f t="shared" si="6"/>
        <v>54</v>
      </c>
      <c r="D69" s="1" t="s">
        <v>28</v>
      </c>
      <c r="E69" s="1" t="s">
        <v>24</v>
      </c>
      <c r="F69" s="1" t="s">
        <v>33</v>
      </c>
      <c r="G69" s="1" t="str">
        <f t="shared" si="7"/>
        <v>Engineer</v>
      </c>
      <c r="H69" s="1">
        <v>99973</v>
      </c>
      <c r="I69" s="1">
        <f t="shared" si="8"/>
        <v>99973</v>
      </c>
      <c r="J69" s="1">
        <v>4</v>
      </c>
      <c r="K69" s="14">
        <f t="shared" si="9"/>
        <v>4</v>
      </c>
      <c r="L69" s="1">
        <v>1</v>
      </c>
      <c r="M69" s="1">
        <f t="shared" si="10"/>
        <v>1</v>
      </c>
      <c r="N69" s="1">
        <v>2</v>
      </c>
      <c r="O69" s="1">
        <f t="shared" si="11"/>
        <v>2</v>
      </c>
      <c r="P69" s="1" t="s">
        <v>20</v>
      </c>
      <c r="Q69" s="1">
        <v>17</v>
      </c>
      <c r="R69" s="1" t="s">
        <v>19</v>
      </c>
      <c r="S69" s="1" t="s">
        <v>30</v>
      </c>
      <c r="T69" s="1">
        <v>61</v>
      </c>
      <c r="U69" s="3" t="s">
        <v>42</v>
      </c>
    </row>
    <row r="70" spans="1:21" x14ac:dyDescent="0.25">
      <c r="A70" s="2" t="s">
        <v>107</v>
      </c>
      <c r="B70" s="1">
        <v>28</v>
      </c>
      <c r="C70" s="14">
        <f t="shared" si="6"/>
        <v>28</v>
      </c>
      <c r="D70" s="1" t="s">
        <v>16</v>
      </c>
      <c r="E70" s="1" t="s">
        <v>17</v>
      </c>
      <c r="F70" s="1" t="s">
        <v>25</v>
      </c>
      <c r="G70" s="1" t="str">
        <f t="shared" si="7"/>
        <v>Associate</v>
      </c>
      <c r="H70" s="1">
        <v>49365</v>
      </c>
      <c r="I70" s="1">
        <f t="shared" si="8"/>
        <v>49365</v>
      </c>
      <c r="J70" s="1">
        <v>2</v>
      </c>
      <c r="K70" s="14">
        <f t="shared" si="9"/>
        <v>2</v>
      </c>
      <c r="L70" s="1">
        <v>3</v>
      </c>
      <c r="M70" s="1">
        <f t="shared" si="10"/>
        <v>3</v>
      </c>
      <c r="N70" s="1">
        <v>5</v>
      </c>
      <c r="O70" s="1">
        <f t="shared" si="11"/>
        <v>5</v>
      </c>
      <c r="P70" s="1" t="s">
        <v>19</v>
      </c>
      <c r="Q70" s="1">
        <v>17</v>
      </c>
      <c r="R70" s="1" t="s">
        <v>20</v>
      </c>
      <c r="S70" s="1" t="s">
        <v>21</v>
      </c>
      <c r="T70" s="1">
        <v>33</v>
      </c>
      <c r="U70" s="3" t="s">
        <v>22</v>
      </c>
    </row>
    <row r="71" spans="1:21" x14ac:dyDescent="0.25">
      <c r="A71" s="2" t="s">
        <v>108</v>
      </c>
      <c r="B71" s="1">
        <v>50</v>
      </c>
      <c r="C71" s="14">
        <f t="shared" si="6"/>
        <v>50</v>
      </c>
      <c r="D71" s="1" t="s">
        <v>16</v>
      </c>
      <c r="E71" s="1" t="s">
        <v>17</v>
      </c>
      <c r="F71" s="1" t="s">
        <v>41</v>
      </c>
      <c r="G71" s="1" t="str">
        <f t="shared" si="7"/>
        <v>Executive</v>
      </c>
      <c r="H71" s="1"/>
      <c r="I71" s="1">
        <f t="shared" si="8"/>
        <v>68925</v>
      </c>
      <c r="J71" s="1"/>
      <c r="K71" s="14">
        <f t="shared" si="9"/>
        <v>3</v>
      </c>
      <c r="L71" s="1">
        <v>5</v>
      </c>
      <c r="M71" s="1">
        <f t="shared" si="10"/>
        <v>5</v>
      </c>
      <c r="N71" s="1">
        <v>3</v>
      </c>
      <c r="O71" s="1">
        <f t="shared" si="11"/>
        <v>3</v>
      </c>
      <c r="P71" s="1" t="s">
        <v>20</v>
      </c>
      <c r="Q71" s="1">
        <v>15</v>
      </c>
      <c r="R71" s="1" t="s">
        <v>20</v>
      </c>
      <c r="S71" s="1" t="s">
        <v>21</v>
      </c>
      <c r="T71" s="1">
        <v>63</v>
      </c>
      <c r="U71" s="3" t="s">
        <v>31</v>
      </c>
    </row>
    <row r="72" spans="1:21" x14ac:dyDescent="0.25">
      <c r="A72" s="2" t="s">
        <v>109</v>
      </c>
      <c r="B72" s="1">
        <v>30</v>
      </c>
      <c r="C72" s="14">
        <f t="shared" si="6"/>
        <v>30</v>
      </c>
      <c r="D72" s="1" t="s">
        <v>28</v>
      </c>
      <c r="E72" s="1" t="s">
        <v>51</v>
      </c>
      <c r="F72" s="1" t="s">
        <v>25</v>
      </c>
      <c r="G72" s="1" t="str">
        <f t="shared" si="7"/>
        <v>Associate</v>
      </c>
      <c r="H72" s="1">
        <v>84616</v>
      </c>
      <c r="I72" s="1">
        <f t="shared" si="8"/>
        <v>84616</v>
      </c>
      <c r="J72" s="1">
        <v>2</v>
      </c>
      <c r="K72" s="14">
        <f t="shared" si="9"/>
        <v>2</v>
      </c>
      <c r="L72" s="1">
        <v>1</v>
      </c>
      <c r="M72" s="1">
        <f t="shared" si="10"/>
        <v>1</v>
      </c>
      <c r="N72" s="1">
        <v>3</v>
      </c>
      <c r="O72" s="1">
        <f t="shared" si="11"/>
        <v>3</v>
      </c>
      <c r="P72" s="1" t="s">
        <v>20</v>
      </c>
      <c r="Q72" s="1">
        <v>10</v>
      </c>
      <c r="R72" s="1" t="s">
        <v>20</v>
      </c>
      <c r="S72" s="1" t="s">
        <v>21</v>
      </c>
      <c r="T72" s="1">
        <v>41</v>
      </c>
      <c r="U72" s="3" t="s">
        <v>36</v>
      </c>
    </row>
    <row r="73" spans="1:21" x14ac:dyDescent="0.25">
      <c r="A73" s="2" t="s">
        <v>110</v>
      </c>
      <c r="B73" s="1">
        <v>58</v>
      </c>
      <c r="C73" s="14">
        <f t="shared" si="6"/>
        <v>58</v>
      </c>
      <c r="D73" s="1" t="s">
        <v>28</v>
      </c>
      <c r="E73" s="1" t="s">
        <v>51</v>
      </c>
      <c r="F73" s="1" t="s">
        <v>33</v>
      </c>
      <c r="G73" s="1" t="str">
        <f t="shared" si="7"/>
        <v>Engineer</v>
      </c>
      <c r="H73" s="1">
        <v>88592</v>
      </c>
      <c r="I73" s="1">
        <f t="shared" si="8"/>
        <v>88592</v>
      </c>
      <c r="J73" s="1">
        <v>4</v>
      </c>
      <c r="K73" s="14">
        <f t="shared" si="9"/>
        <v>4</v>
      </c>
      <c r="L73" s="1">
        <v>3</v>
      </c>
      <c r="M73" s="1">
        <f t="shared" si="10"/>
        <v>3</v>
      </c>
      <c r="N73" s="1">
        <v>3</v>
      </c>
      <c r="O73" s="1">
        <f t="shared" si="11"/>
        <v>3</v>
      </c>
      <c r="P73" s="1" t="s">
        <v>20</v>
      </c>
      <c r="Q73" s="1">
        <v>14</v>
      </c>
      <c r="R73" s="1" t="s">
        <v>20</v>
      </c>
      <c r="S73" s="1" t="s">
        <v>21</v>
      </c>
      <c r="T73" s="1">
        <v>35</v>
      </c>
      <c r="U73" s="3" t="s">
        <v>31</v>
      </c>
    </row>
    <row r="74" spans="1:21" x14ac:dyDescent="0.25">
      <c r="A74" s="2" t="s">
        <v>111</v>
      </c>
      <c r="B74" s="1">
        <v>45</v>
      </c>
      <c r="C74" s="14">
        <f t="shared" si="6"/>
        <v>45</v>
      </c>
      <c r="D74" s="1" t="s">
        <v>16</v>
      </c>
      <c r="E74" s="1" t="s">
        <v>49</v>
      </c>
      <c r="F74" s="1" t="s">
        <v>35</v>
      </c>
      <c r="G74" s="1" t="str">
        <f t="shared" si="7"/>
        <v>Manager</v>
      </c>
      <c r="H74" s="1">
        <v>59704</v>
      </c>
      <c r="I74" s="1">
        <f t="shared" si="8"/>
        <v>59704</v>
      </c>
      <c r="J74" s="1">
        <v>4</v>
      </c>
      <c r="K74" s="14">
        <f t="shared" si="9"/>
        <v>4</v>
      </c>
      <c r="L74" s="1">
        <v>4</v>
      </c>
      <c r="M74" s="1">
        <f t="shared" si="10"/>
        <v>4</v>
      </c>
      <c r="N74" s="1">
        <v>4</v>
      </c>
      <c r="O74" s="1">
        <f t="shared" si="11"/>
        <v>4</v>
      </c>
      <c r="P74" s="1" t="s">
        <v>19</v>
      </c>
      <c r="Q74" s="1">
        <v>15</v>
      </c>
      <c r="R74" s="1" t="s">
        <v>19</v>
      </c>
      <c r="S74" s="1" t="s">
        <v>21</v>
      </c>
      <c r="T74" s="1">
        <v>69</v>
      </c>
      <c r="U74" s="3" t="s">
        <v>31</v>
      </c>
    </row>
    <row r="75" spans="1:21" x14ac:dyDescent="0.25">
      <c r="A75" s="2" t="s">
        <v>112</v>
      </c>
      <c r="B75" s="1">
        <v>42</v>
      </c>
      <c r="C75" s="14">
        <f t="shared" si="6"/>
        <v>42</v>
      </c>
      <c r="D75" s="1" t="s">
        <v>16</v>
      </c>
      <c r="E75" s="1" t="s">
        <v>49</v>
      </c>
      <c r="F75" s="1" t="s">
        <v>35</v>
      </c>
      <c r="G75" s="1" t="str">
        <f t="shared" si="7"/>
        <v>Manager</v>
      </c>
      <c r="H75" s="1">
        <v>86937</v>
      </c>
      <c r="I75" s="1">
        <f t="shared" si="8"/>
        <v>86937</v>
      </c>
      <c r="J75" s="1">
        <v>4</v>
      </c>
      <c r="K75" s="14">
        <f t="shared" si="9"/>
        <v>4</v>
      </c>
      <c r="L75" s="1">
        <v>1</v>
      </c>
      <c r="M75" s="1">
        <f t="shared" si="10"/>
        <v>1</v>
      </c>
      <c r="N75" s="1">
        <v>2</v>
      </c>
      <c r="O75" s="1">
        <f t="shared" si="11"/>
        <v>2</v>
      </c>
      <c r="P75" s="1" t="s">
        <v>20</v>
      </c>
      <c r="Q75" s="1">
        <v>20</v>
      </c>
      <c r="R75" s="1" t="s">
        <v>19</v>
      </c>
      <c r="S75" s="1" t="s">
        <v>21</v>
      </c>
      <c r="T75" s="1">
        <v>65</v>
      </c>
      <c r="U75" s="3" t="s">
        <v>36</v>
      </c>
    </row>
    <row r="76" spans="1:21" x14ac:dyDescent="0.25">
      <c r="A76" s="2" t="s">
        <v>113</v>
      </c>
      <c r="B76" s="1">
        <v>42</v>
      </c>
      <c r="C76" s="14">
        <f t="shared" si="6"/>
        <v>42</v>
      </c>
      <c r="D76" s="1" t="s">
        <v>28</v>
      </c>
      <c r="E76" s="1" t="s">
        <v>17</v>
      </c>
      <c r="F76" s="1" t="s">
        <v>35</v>
      </c>
      <c r="G76" s="1" t="str">
        <f t="shared" si="7"/>
        <v>Manager</v>
      </c>
      <c r="H76" s="1"/>
      <c r="I76" s="1">
        <f t="shared" si="8"/>
        <v>68925</v>
      </c>
      <c r="J76" s="1">
        <v>5</v>
      </c>
      <c r="K76" s="14">
        <f t="shared" si="9"/>
        <v>5</v>
      </c>
      <c r="L76" s="1">
        <v>4</v>
      </c>
      <c r="M76" s="1">
        <f t="shared" si="10"/>
        <v>4</v>
      </c>
      <c r="N76" s="1">
        <v>3</v>
      </c>
      <c r="O76" s="1">
        <f t="shared" si="11"/>
        <v>3</v>
      </c>
      <c r="P76" s="1" t="s">
        <v>20</v>
      </c>
      <c r="Q76" s="1">
        <v>17</v>
      </c>
      <c r="R76" s="1" t="s">
        <v>19</v>
      </c>
      <c r="S76" s="1" t="s">
        <v>26</v>
      </c>
      <c r="T76" s="1">
        <v>13</v>
      </c>
      <c r="U76" s="3" t="s">
        <v>44</v>
      </c>
    </row>
    <row r="77" spans="1:21" x14ac:dyDescent="0.25">
      <c r="A77" s="2" t="s">
        <v>114</v>
      </c>
      <c r="B77" s="1">
        <v>39</v>
      </c>
      <c r="C77" s="14">
        <f t="shared" si="6"/>
        <v>39</v>
      </c>
      <c r="D77" s="1" t="s">
        <v>16</v>
      </c>
      <c r="E77" s="1" t="s">
        <v>17</v>
      </c>
      <c r="F77" s="1" t="s">
        <v>35</v>
      </c>
      <c r="G77" s="1" t="str">
        <f t="shared" si="7"/>
        <v>Manager</v>
      </c>
      <c r="H77" s="1">
        <v>74881</v>
      </c>
      <c r="I77" s="1">
        <f t="shared" si="8"/>
        <v>74881</v>
      </c>
      <c r="J77" s="1">
        <v>1</v>
      </c>
      <c r="K77" s="14">
        <f t="shared" si="9"/>
        <v>1</v>
      </c>
      <c r="L77" s="1">
        <v>1</v>
      </c>
      <c r="M77" s="1">
        <f t="shared" si="10"/>
        <v>1</v>
      </c>
      <c r="N77" s="1">
        <v>4</v>
      </c>
      <c r="O77" s="1">
        <f t="shared" si="11"/>
        <v>4</v>
      </c>
      <c r="P77" s="1" t="s">
        <v>19</v>
      </c>
      <c r="Q77" s="1">
        <v>9</v>
      </c>
      <c r="R77" s="1" t="s">
        <v>19</v>
      </c>
      <c r="S77" s="1" t="s">
        <v>21</v>
      </c>
      <c r="T77" s="1">
        <v>46</v>
      </c>
      <c r="U77" s="3" t="s">
        <v>22</v>
      </c>
    </row>
    <row r="78" spans="1:21" x14ac:dyDescent="0.25">
      <c r="A78" s="2" t="s">
        <v>115</v>
      </c>
      <c r="B78" s="1">
        <v>39</v>
      </c>
      <c r="C78" s="14">
        <f t="shared" si="6"/>
        <v>39</v>
      </c>
      <c r="D78" s="1" t="s">
        <v>28</v>
      </c>
      <c r="E78" s="1" t="s">
        <v>29</v>
      </c>
      <c r="F78" s="1" t="s">
        <v>33</v>
      </c>
      <c r="G78" s="1" t="str">
        <f t="shared" si="7"/>
        <v>Engineer</v>
      </c>
      <c r="H78" s="1">
        <v>37080</v>
      </c>
      <c r="I78" s="1">
        <f t="shared" si="8"/>
        <v>37080</v>
      </c>
      <c r="J78" s="1">
        <v>2</v>
      </c>
      <c r="K78" s="14">
        <f t="shared" si="9"/>
        <v>2</v>
      </c>
      <c r="L78" s="1">
        <v>5</v>
      </c>
      <c r="M78" s="1">
        <f t="shared" si="10"/>
        <v>5</v>
      </c>
      <c r="N78" s="1"/>
      <c r="O78" s="1">
        <f t="shared" si="11"/>
        <v>3</v>
      </c>
      <c r="P78" s="1" t="s">
        <v>19</v>
      </c>
      <c r="Q78" s="1">
        <v>5</v>
      </c>
      <c r="R78" s="1" t="s">
        <v>19</v>
      </c>
      <c r="S78" s="1" t="s">
        <v>21</v>
      </c>
      <c r="T78" s="1">
        <v>53</v>
      </c>
      <c r="U78" s="3" t="s">
        <v>31</v>
      </c>
    </row>
    <row r="79" spans="1:21" x14ac:dyDescent="0.25">
      <c r="A79" s="2" t="s">
        <v>116</v>
      </c>
      <c r="B79" s="1">
        <v>36</v>
      </c>
      <c r="C79" s="14">
        <f t="shared" si="6"/>
        <v>36</v>
      </c>
      <c r="D79" s="1" t="s">
        <v>28</v>
      </c>
      <c r="E79" s="1" t="s">
        <v>24</v>
      </c>
      <c r="F79" s="1" t="s">
        <v>41</v>
      </c>
      <c r="G79" s="1" t="str">
        <f t="shared" si="7"/>
        <v>Executive</v>
      </c>
      <c r="H79" s="1">
        <v>48433</v>
      </c>
      <c r="I79" s="1">
        <f t="shared" si="8"/>
        <v>48433</v>
      </c>
      <c r="J79" s="1">
        <v>4</v>
      </c>
      <c r="K79" s="14">
        <f t="shared" si="9"/>
        <v>4</v>
      </c>
      <c r="L79" s="1">
        <v>3</v>
      </c>
      <c r="M79" s="1">
        <f t="shared" si="10"/>
        <v>3</v>
      </c>
      <c r="N79" s="1">
        <v>4</v>
      </c>
      <c r="O79" s="1">
        <f t="shared" si="11"/>
        <v>4</v>
      </c>
      <c r="P79" s="1" t="s">
        <v>20</v>
      </c>
      <c r="Q79" s="1">
        <v>0</v>
      </c>
      <c r="R79" s="1" t="s">
        <v>20</v>
      </c>
      <c r="S79" s="1" t="s">
        <v>30</v>
      </c>
      <c r="T79" s="1">
        <v>74</v>
      </c>
      <c r="U79" s="3" t="s">
        <v>44</v>
      </c>
    </row>
    <row r="80" spans="1:21" x14ac:dyDescent="0.25">
      <c r="A80" s="2" t="s">
        <v>117</v>
      </c>
      <c r="B80" s="1">
        <v>25</v>
      </c>
      <c r="C80" s="14">
        <f t="shared" si="6"/>
        <v>25</v>
      </c>
      <c r="D80" s="1" t="s">
        <v>28</v>
      </c>
      <c r="E80" s="1" t="s">
        <v>29</v>
      </c>
      <c r="F80" s="1" t="s">
        <v>25</v>
      </c>
      <c r="G80" s="1" t="str">
        <f t="shared" si="7"/>
        <v>Associate</v>
      </c>
      <c r="H80" s="1">
        <v>57210</v>
      </c>
      <c r="I80" s="1">
        <f t="shared" si="8"/>
        <v>57210</v>
      </c>
      <c r="J80" s="1">
        <v>4</v>
      </c>
      <c r="K80" s="14">
        <f t="shared" si="9"/>
        <v>4</v>
      </c>
      <c r="L80" s="1">
        <v>3</v>
      </c>
      <c r="M80" s="1">
        <f t="shared" si="10"/>
        <v>3</v>
      </c>
      <c r="N80" s="1">
        <v>4</v>
      </c>
      <c r="O80" s="1">
        <f t="shared" si="11"/>
        <v>4</v>
      </c>
      <c r="P80" s="1" t="s">
        <v>20</v>
      </c>
      <c r="Q80" s="1">
        <v>6</v>
      </c>
      <c r="R80" s="1" t="s">
        <v>20</v>
      </c>
      <c r="S80" s="1" t="s">
        <v>30</v>
      </c>
      <c r="T80" s="1">
        <v>18</v>
      </c>
      <c r="U80" s="3" t="s">
        <v>44</v>
      </c>
    </row>
    <row r="81" spans="1:21" x14ac:dyDescent="0.25">
      <c r="A81" s="2" t="s">
        <v>118</v>
      </c>
      <c r="B81" s="1">
        <v>45</v>
      </c>
      <c r="C81" s="14">
        <f t="shared" si="6"/>
        <v>45</v>
      </c>
      <c r="D81" s="1" t="s">
        <v>28</v>
      </c>
      <c r="E81" s="1" t="s">
        <v>24</v>
      </c>
      <c r="F81" s="1" t="s">
        <v>18</v>
      </c>
      <c r="G81" s="1" t="str">
        <f t="shared" si="7"/>
        <v>Analyst</v>
      </c>
      <c r="H81" s="1">
        <v>109655</v>
      </c>
      <c r="I81" s="1">
        <f t="shared" si="8"/>
        <v>109655</v>
      </c>
      <c r="J81" s="1">
        <v>3</v>
      </c>
      <c r="K81" s="14">
        <f t="shared" si="9"/>
        <v>3</v>
      </c>
      <c r="L81" s="1">
        <v>1</v>
      </c>
      <c r="M81" s="1">
        <f t="shared" si="10"/>
        <v>1</v>
      </c>
      <c r="N81" s="1">
        <v>4</v>
      </c>
      <c r="O81" s="1">
        <f t="shared" si="11"/>
        <v>4</v>
      </c>
      <c r="P81" s="1" t="s">
        <v>20</v>
      </c>
      <c r="Q81" s="1">
        <v>0</v>
      </c>
      <c r="R81" s="1" t="s">
        <v>19</v>
      </c>
      <c r="S81" s="1" t="s">
        <v>26</v>
      </c>
      <c r="T81" s="1">
        <v>68</v>
      </c>
      <c r="U81" s="3" t="s">
        <v>36</v>
      </c>
    </row>
    <row r="82" spans="1:21" x14ac:dyDescent="0.25">
      <c r="A82" s="2" t="s">
        <v>119</v>
      </c>
      <c r="B82" s="1">
        <v>35</v>
      </c>
      <c r="C82" s="14">
        <f t="shared" si="6"/>
        <v>35</v>
      </c>
      <c r="D82" s="1" t="s">
        <v>28</v>
      </c>
      <c r="E82" s="1" t="s">
        <v>51</v>
      </c>
      <c r="F82" s="1" t="s">
        <v>38</v>
      </c>
      <c r="G82" s="1" t="str">
        <f t="shared" si="7"/>
        <v>Lead</v>
      </c>
      <c r="H82" s="1">
        <v>42920</v>
      </c>
      <c r="I82" s="1">
        <f t="shared" si="8"/>
        <v>42920</v>
      </c>
      <c r="J82" s="1"/>
      <c r="K82" s="14">
        <f t="shared" si="9"/>
        <v>3</v>
      </c>
      <c r="L82" s="1">
        <v>3</v>
      </c>
      <c r="M82" s="1">
        <f t="shared" si="10"/>
        <v>3</v>
      </c>
      <c r="N82" s="1">
        <v>2</v>
      </c>
      <c r="O82" s="1">
        <f t="shared" si="11"/>
        <v>2</v>
      </c>
      <c r="P82" s="1" t="s">
        <v>19</v>
      </c>
      <c r="Q82" s="1">
        <v>20</v>
      </c>
      <c r="R82" s="1" t="s">
        <v>19</v>
      </c>
      <c r="S82" s="1" t="s">
        <v>30</v>
      </c>
      <c r="T82" s="1">
        <v>61</v>
      </c>
      <c r="U82" s="3" t="s">
        <v>22</v>
      </c>
    </row>
    <row r="83" spans="1:21" x14ac:dyDescent="0.25">
      <c r="A83" s="2" t="s">
        <v>120</v>
      </c>
      <c r="B83" s="1">
        <v>58</v>
      </c>
      <c r="C83" s="14">
        <f t="shared" si="6"/>
        <v>58</v>
      </c>
      <c r="D83" s="1" t="s">
        <v>28</v>
      </c>
      <c r="E83" s="1" t="s">
        <v>17</v>
      </c>
      <c r="F83" s="1" t="s">
        <v>41</v>
      </c>
      <c r="G83" s="1" t="str">
        <f t="shared" si="7"/>
        <v>Executive</v>
      </c>
      <c r="H83" s="1">
        <v>29813</v>
      </c>
      <c r="I83" s="1">
        <f t="shared" si="8"/>
        <v>29813</v>
      </c>
      <c r="J83" s="1">
        <v>3</v>
      </c>
      <c r="K83" s="14">
        <f t="shared" si="9"/>
        <v>3</v>
      </c>
      <c r="L83" s="1">
        <v>3</v>
      </c>
      <c r="M83" s="1">
        <f t="shared" si="10"/>
        <v>3</v>
      </c>
      <c r="N83" s="1">
        <v>4</v>
      </c>
      <c r="O83" s="1">
        <f t="shared" si="11"/>
        <v>4</v>
      </c>
      <c r="P83" s="1" t="s">
        <v>19</v>
      </c>
      <c r="Q83" s="1">
        <v>6</v>
      </c>
      <c r="R83" s="1" t="s">
        <v>19</v>
      </c>
      <c r="S83" s="1" t="s">
        <v>26</v>
      </c>
      <c r="T83" s="1">
        <v>51</v>
      </c>
      <c r="U83" s="3" t="s">
        <v>31</v>
      </c>
    </row>
    <row r="84" spans="1:21" x14ac:dyDescent="0.25">
      <c r="A84" s="2" t="s">
        <v>121</v>
      </c>
      <c r="B84" s="1">
        <v>53</v>
      </c>
      <c r="C84" s="14">
        <f t="shared" si="6"/>
        <v>53</v>
      </c>
      <c r="D84" s="1" t="s">
        <v>28</v>
      </c>
      <c r="E84" s="1" t="s">
        <v>51</v>
      </c>
      <c r="F84" s="1" t="s">
        <v>18</v>
      </c>
      <c r="G84" s="1" t="str">
        <f t="shared" si="7"/>
        <v>Analyst</v>
      </c>
      <c r="H84" s="1">
        <v>81156</v>
      </c>
      <c r="I84" s="1">
        <f t="shared" si="8"/>
        <v>81156</v>
      </c>
      <c r="J84" s="1">
        <v>3</v>
      </c>
      <c r="K84" s="14">
        <f t="shared" si="9"/>
        <v>3</v>
      </c>
      <c r="L84" s="1">
        <v>3</v>
      </c>
      <c r="M84" s="1">
        <f t="shared" si="10"/>
        <v>3</v>
      </c>
      <c r="N84" s="1">
        <v>1</v>
      </c>
      <c r="O84" s="1">
        <f t="shared" si="11"/>
        <v>1</v>
      </c>
      <c r="P84" s="1" t="s">
        <v>20</v>
      </c>
      <c r="Q84" s="1">
        <v>2</v>
      </c>
      <c r="R84" s="1" t="s">
        <v>19</v>
      </c>
      <c r="S84" s="1" t="s">
        <v>21</v>
      </c>
      <c r="T84" s="1">
        <v>55</v>
      </c>
      <c r="U84" s="3" t="s">
        <v>31</v>
      </c>
    </row>
    <row r="85" spans="1:21" x14ac:dyDescent="0.25">
      <c r="A85" s="2" t="s">
        <v>122</v>
      </c>
      <c r="B85" s="1">
        <v>44</v>
      </c>
      <c r="C85" s="14">
        <f t="shared" si="6"/>
        <v>44</v>
      </c>
      <c r="D85" s="1" t="s">
        <v>16</v>
      </c>
      <c r="E85" s="1" t="s">
        <v>49</v>
      </c>
      <c r="F85" s="1" t="s">
        <v>35</v>
      </c>
      <c r="G85" s="1" t="str">
        <f t="shared" si="7"/>
        <v>Manager</v>
      </c>
      <c r="H85" s="1">
        <v>52663</v>
      </c>
      <c r="I85" s="1">
        <f t="shared" si="8"/>
        <v>52663</v>
      </c>
      <c r="J85" s="1">
        <v>5</v>
      </c>
      <c r="K85" s="14">
        <f t="shared" si="9"/>
        <v>5</v>
      </c>
      <c r="L85" s="1">
        <v>1</v>
      </c>
      <c r="M85" s="1">
        <f t="shared" si="10"/>
        <v>1</v>
      </c>
      <c r="N85" s="1">
        <v>4</v>
      </c>
      <c r="O85" s="1">
        <f t="shared" si="11"/>
        <v>4</v>
      </c>
      <c r="P85" s="1" t="s">
        <v>20</v>
      </c>
      <c r="Q85" s="1">
        <v>8</v>
      </c>
      <c r="R85" s="1" t="s">
        <v>20</v>
      </c>
      <c r="S85" s="1" t="s">
        <v>26</v>
      </c>
      <c r="T85" s="1">
        <v>52</v>
      </c>
      <c r="U85" s="3" t="s">
        <v>22</v>
      </c>
    </row>
    <row r="86" spans="1:21" x14ac:dyDescent="0.25">
      <c r="A86" s="2" t="s">
        <v>123</v>
      </c>
      <c r="B86" s="1">
        <v>35</v>
      </c>
      <c r="C86" s="14">
        <f t="shared" si="6"/>
        <v>35</v>
      </c>
      <c r="D86" s="1" t="s">
        <v>28</v>
      </c>
      <c r="E86" s="1" t="s">
        <v>40</v>
      </c>
      <c r="F86" s="1" t="s">
        <v>25</v>
      </c>
      <c r="G86" s="1" t="str">
        <f t="shared" si="7"/>
        <v>Associate</v>
      </c>
      <c r="H86" s="1">
        <v>91584</v>
      </c>
      <c r="I86" s="1">
        <f t="shared" si="8"/>
        <v>91584</v>
      </c>
      <c r="J86" s="1">
        <v>3</v>
      </c>
      <c r="K86" s="14">
        <f t="shared" si="9"/>
        <v>3</v>
      </c>
      <c r="L86" s="1">
        <v>5</v>
      </c>
      <c r="M86" s="1">
        <f t="shared" si="10"/>
        <v>5</v>
      </c>
      <c r="N86" s="1">
        <v>2</v>
      </c>
      <c r="O86" s="1">
        <f t="shared" si="11"/>
        <v>2</v>
      </c>
      <c r="P86" s="1" t="s">
        <v>19</v>
      </c>
      <c r="Q86" s="1">
        <v>20</v>
      </c>
      <c r="R86" s="1" t="s">
        <v>20</v>
      </c>
      <c r="S86" s="1" t="s">
        <v>26</v>
      </c>
      <c r="T86" s="1">
        <v>43</v>
      </c>
      <c r="U86" s="3" t="s">
        <v>42</v>
      </c>
    </row>
    <row r="87" spans="1:21" x14ac:dyDescent="0.25">
      <c r="A87" s="2" t="s">
        <v>124</v>
      </c>
      <c r="B87" s="1">
        <v>28</v>
      </c>
      <c r="C87" s="14">
        <f t="shared" si="6"/>
        <v>28</v>
      </c>
      <c r="D87" s="1" t="s">
        <v>16</v>
      </c>
      <c r="E87" s="1" t="s">
        <v>40</v>
      </c>
      <c r="F87" s="1" t="s">
        <v>35</v>
      </c>
      <c r="G87" s="1" t="str">
        <f t="shared" si="7"/>
        <v>Manager</v>
      </c>
      <c r="H87" s="1">
        <v>57893</v>
      </c>
      <c r="I87" s="1">
        <f t="shared" si="8"/>
        <v>57893</v>
      </c>
      <c r="J87" s="1">
        <v>4</v>
      </c>
      <c r="K87" s="14">
        <f t="shared" si="9"/>
        <v>4</v>
      </c>
      <c r="L87" s="1">
        <v>1</v>
      </c>
      <c r="M87" s="1">
        <f t="shared" si="10"/>
        <v>1</v>
      </c>
      <c r="N87" s="1">
        <v>1</v>
      </c>
      <c r="O87" s="1">
        <f t="shared" si="11"/>
        <v>1</v>
      </c>
      <c r="P87" s="1" t="s">
        <v>19</v>
      </c>
      <c r="Q87" s="1">
        <v>17</v>
      </c>
      <c r="R87" s="1" t="s">
        <v>19</v>
      </c>
      <c r="S87" s="1" t="s">
        <v>30</v>
      </c>
      <c r="T87" s="1">
        <v>63</v>
      </c>
      <c r="U87" s="3" t="s">
        <v>36</v>
      </c>
    </row>
    <row r="88" spans="1:21" x14ac:dyDescent="0.25">
      <c r="A88" s="2" t="s">
        <v>125</v>
      </c>
      <c r="B88" s="1">
        <v>55</v>
      </c>
      <c r="C88" s="14">
        <f t="shared" si="6"/>
        <v>55</v>
      </c>
      <c r="D88" s="1" t="s">
        <v>28</v>
      </c>
      <c r="E88" s="1" t="s">
        <v>24</v>
      </c>
      <c r="F88" s="1" t="s">
        <v>38</v>
      </c>
      <c r="G88" s="1" t="str">
        <f t="shared" si="7"/>
        <v>Lead</v>
      </c>
      <c r="H88" s="1">
        <v>113236</v>
      </c>
      <c r="I88" s="1">
        <f t="shared" si="8"/>
        <v>113236</v>
      </c>
      <c r="J88" s="1">
        <v>2</v>
      </c>
      <c r="K88" s="14">
        <f t="shared" si="9"/>
        <v>2</v>
      </c>
      <c r="L88" s="1">
        <v>4</v>
      </c>
      <c r="M88" s="1">
        <f t="shared" si="10"/>
        <v>4</v>
      </c>
      <c r="N88" s="1">
        <v>1</v>
      </c>
      <c r="O88" s="1">
        <f t="shared" si="11"/>
        <v>1</v>
      </c>
      <c r="P88" s="1" t="s">
        <v>20</v>
      </c>
      <c r="Q88" s="1">
        <v>19</v>
      </c>
      <c r="R88" s="1" t="s">
        <v>20</v>
      </c>
      <c r="S88" s="1" t="s">
        <v>30</v>
      </c>
      <c r="T88" s="1">
        <v>9</v>
      </c>
      <c r="U88" s="3" t="s">
        <v>36</v>
      </c>
    </row>
    <row r="89" spans="1:21" x14ac:dyDescent="0.25">
      <c r="A89" s="2" t="s">
        <v>126</v>
      </c>
      <c r="B89" s="1"/>
      <c r="C89" s="14">
        <f t="shared" si="6"/>
        <v>39</v>
      </c>
      <c r="D89" s="1" t="s">
        <v>28</v>
      </c>
      <c r="E89" s="1" t="s">
        <v>49</v>
      </c>
      <c r="F89" s="1" t="s">
        <v>41</v>
      </c>
      <c r="G89" s="1" t="str">
        <f t="shared" si="7"/>
        <v>Executive</v>
      </c>
      <c r="H89" s="1">
        <v>65537</v>
      </c>
      <c r="I89" s="1">
        <f t="shared" si="8"/>
        <v>65537</v>
      </c>
      <c r="J89" s="1"/>
      <c r="K89" s="14">
        <f t="shared" si="9"/>
        <v>3</v>
      </c>
      <c r="L89" s="1">
        <v>3</v>
      </c>
      <c r="M89" s="1">
        <f t="shared" si="10"/>
        <v>3</v>
      </c>
      <c r="N89" s="1">
        <v>5</v>
      </c>
      <c r="O89" s="1">
        <f t="shared" si="11"/>
        <v>5</v>
      </c>
      <c r="P89" s="1" t="s">
        <v>20</v>
      </c>
      <c r="Q89" s="1">
        <v>1</v>
      </c>
      <c r="R89" s="1" t="s">
        <v>20</v>
      </c>
      <c r="S89" s="1" t="s">
        <v>30</v>
      </c>
      <c r="T89" s="1">
        <v>29</v>
      </c>
      <c r="U89" s="3" t="s">
        <v>22</v>
      </c>
    </row>
    <row r="90" spans="1:21" x14ac:dyDescent="0.25">
      <c r="A90" s="2" t="s">
        <v>127</v>
      </c>
      <c r="B90" s="1">
        <v>50</v>
      </c>
      <c r="C90" s="14">
        <f t="shared" si="6"/>
        <v>50</v>
      </c>
      <c r="D90" s="1" t="s">
        <v>16</v>
      </c>
      <c r="E90" s="1" t="s">
        <v>17</v>
      </c>
      <c r="F90" s="1" t="s">
        <v>41</v>
      </c>
      <c r="G90" s="1" t="str">
        <f t="shared" si="7"/>
        <v>Executive</v>
      </c>
      <c r="H90" s="1">
        <v>102109</v>
      </c>
      <c r="I90" s="1">
        <f t="shared" si="8"/>
        <v>102109</v>
      </c>
      <c r="J90" s="1">
        <v>5</v>
      </c>
      <c r="K90" s="14">
        <f t="shared" si="9"/>
        <v>5</v>
      </c>
      <c r="L90" s="1">
        <v>1</v>
      </c>
      <c r="M90" s="1">
        <f t="shared" si="10"/>
        <v>1</v>
      </c>
      <c r="N90" s="1">
        <v>1</v>
      </c>
      <c r="O90" s="1">
        <f t="shared" si="11"/>
        <v>1</v>
      </c>
      <c r="P90" s="1" t="s">
        <v>20</v>
      </c>
      <c r="Q90" s="1">
        <v>7</v>
      </c>
      <c r="R90" s="1" t="s">
        <v>19</v>
      </c>
      <c r="S90" s="1" t="s">
        <v>26</v>
      </c>
      <c r="T90" s="1">
        <v>31</v>
      </c>
      <c r="U90" s="3" t="s">
        <v>22</v>
      </c>
    </row>
    <row r="91" spans="1:21" x14ac:dyDescent="0.25">
      <c r="A91" s="2" t="s">
        <v>128</v>
      </c>
      <c r="B91" s="1">
        <v>56</v>
      </c>
      <c r="C91" s="14">
        <f t="shared" si="6"/>
        <v>56</v>
      </c>
      <c r="D91" s="1" t="s">
        <v>16</v>
      </c>
      <c r="E91" s="1" t="s">
        <v>24</v>
      </c>
      <c r="F91" s="1" t="s">
        <v>41</v>
      </c>
      <c r="G91" s="1" t="str">
        <f t="shared" si="7"/>
        <v>Executive</v>
      </c>
      <c r="H91" s="1">
        <v>48539</v>
      </c>
      <c r="I91" s="1">
        <f t="shared" si="8"/>
        <v>48539</v>
      </c>
      <c r="J91" s="1">
        <v>3</v>
      </c>
      <c r="K91" s="14">
        <f t="shared" si="9"/>
        <v>3</v>
      </c>
      <c r="L91" s="1">
        <v>2</v>
      </c>
      <c r="M91" s="1">
        <f t="shared" si="10"/>
        <v>2</v>
      </c>
      <c r="N91" s="1">
        <v>5</v>
      </c>
      <c r="O91" s="1">
        <f t="shared" si="11"/>
        <v>5</v>
      </c>
      <c r="P91" s="1" t="s">
        <v>19</v>
      </c>
      <c r="Q91" s="1">
        <v>8</v>
      </c>
      <c r="R91" s="1" t="s">
        <v>19</v>
      </c>
      <c r="S91" s="1" t="s">
        <v>21</v>
      </c>
      <c r="T91" s="1">
        <v>74</v>
      </c>
      <c r="U91" s="3" t="s">
        <v>36</v>
      </c>
    </row>
    <row r="92" spans="1:21" x14ac:dyDescent="0.25">
      <c r="A92" s="2" t="s">
        <v>129</v>
      </c>
      <c r="B92" s="1">
        <v>32</v>
      </c>
      <c r="C92" s="14">
        <f t="shared" si="6"/>
        <v>32</v>
      </c>
      <c r="D92" s="1" t="s">
        <v>16</v>
      </c>
      <c r="E92" s="1" t="s">
        <v>17</v>
      </c>
      <c r="F92" s="1" t="s">
        <v>35</v>
      </c>
      <c r="G92" s="1" t="str">
        <f t="shared" si="7"/>
        <v>Manager</v>
      </c>
      <c r="H92" s="1">
        <v>35275</v>
      </c>
      <c r="I92" s="1">
        <f t="shared" si="8"/>
        <v>35275</v>
      </c>
      <c r="J92" s="1">
        <v>1</v>
      </c>
      <c r="K92" s="14">
        <f t="shared" si="9"/>
        <v>1</v>
      </c>
      <c r="L92" s="1">
        <v>3</v>
      </c>
      <c r="M92" s="1">
        <f t="shared" si="10"/>
        <v>3</v>
      </c>
      <c r="N92" s="1">
        <v>2</v>
      </c>
      <c r="O92" s="1">
        <f t="shared" si="11"/>
        <v>2</v>
      </c>
      <c r="P92" s="1" t="s">
        <v>20</v>
      </c>
      <c r="Q92" s="1">
        <v>0</v>
      </c>
      <c r="R92" s="1" t="s">
        <v>19</v>
      </c>
      <c r="S92" s="1" t="s">
        <v>30</v>
      </c>
      <c r="T92" s="1">
        <v>11</v>
      </c>
      <c r="U92" s="3" t="s">
        <v>44</v>
      </c>
    </row>
    <row r="93" spans="1:21" x14ac:dyDescent="0.25">
      <c r="A93" s="2" t="s">
        <v>130</v>
      </c>
      <c r="B93" s="1">
        <v>47</v>
      </c>
      <c r="C93" s="14">
        <f t="shared" si="6"/>
        <v>47</v>
      </c>
      <c r="D93" s="1" t="s">
        <v>16</v>
      </c>
      <c r="E93" s="1" t="s">
        <v>17</v>
      </c>
      <c r="F93" s="1" t="s">
        <v>35</v>
      </c>
      <c r="G93" s="1" t="str">
        <f t="shared" si="7"/>
        <v>Manager</v>
      </c>
      <c r="H93" s="1"/>
      <c r="I93" s="1">
        <f t="shared" si="8"/>
        <v>68925</v>
      </c>
      <c r="J93" s="1">
        <v>4</v>
      </c>
      <c r="K93" s="14">
        <f t="shared" si="9"/>
        <v>4</v>
      </c>
      <c r="L93" s="1">
        <v>3</v>
      </c>
      <c r="M93" s="1">
        <f t="shared" si="10"/>
        <v>3</v>
      </c>
      <c r="N93" s="1">
        <v>5</v>
      </c>
      <c r="O93" s="1">
        <f t="shared" si="11"/>
        <v>5</v>
      </c>
      <c r="P93" s="1" t="s">
        <v>19</v>
      </c>
      <c r="Q93" s="1">
        <v>14</v>
      </c>
      <c r="R93" s="1" t="s">
        <v>19</v>
      </c>
      <c r="S93" s="1" t="s">
        <v>26</v>
      </c>
      <c r="T93" s="1">
        <v>10</v>
      </c>
      <c r="U93" s="3" t="s">
        <v>31</v>
      </c>
    </row>
    <row r="94" spans="1:21" x14ac:dyDescent="0.25">
      <c r="A94" s="2" t="s">
        <v>131</v>
      </c>
      <c r="B94" s="1">
        <v>40</v>
      </c>
      <c r="C94" s="14">
        <f t="shared" si="6"/>
        <v>40</v>
      </c>
      <c r="D94" s="1" t="s">
        <v>28</v>
      </c>
      <c r="E94" s="1" t="s">
        <v>17</v>
      </c>
      <c r="F94" s="1" t="s">
        <v>35</v>
      </c>
      <c r="G94" s="1" t="str">
        <f t="shared" si="7"/>
        <v>Manager</v>
      </c>
      <c r="H94" s="1">
        <v>25972</v>
      </c>
      <c r="I94" s="1">
        <f t="shared" si="8"/>
        <v>25972</v>
      </c>
      <c r="J94" s="1">
        <v>4</v>
      </c>
      <c r="K94" s="14">
        <f t="shared" si="9"/>
        <v>4</v>
      </c>
      <c r="L94" s="1">
        <v>4</v>
      </c>
      <c r="M94" s="1">
        <f t="shared" si="10"/>
        <v>4</v>
      </c>
      <c r="N94" s="1">
        <v>4</v>
      </c>
      <c r="O94" s="1">
        <f t="shared" si="11"/>
        <v>4</v>
      </c>
      <c r="P94" s="1" t="s">
        <v>19</v>
      </c>
      <c r="Q94" s="1">
        <v>15</v>
      </c>
      <c r="R94" s="1" t="s">
        <v>20</v>
      </c>
      <c r="S94" s="1" t="s">
        <v>21</v>
      </c>
      <c r="T94" s="1">
        <v>15</v>
      </c>
      <c r="U94" s="3" t="s">
        <v>36</v>
      </c>
    </row>
    <row r="95" spans="1:21" x14ac:dyDescent="0.25">
      <c r="A95" s="2" t="s">
        <v>132</v>
      </c>
      <c r="B95" s="1">
        <v>30</v>
      </c>
      <c r="C95" s="14">
        <f t="shared" si="6"/>
        <v>30</v>
      </c>
      <c r="D95" s="1" t="s">
        <v>16</v>
      </c>
      <c r="E95" s="1" t="s">
        <v>51</v>
      </c>
      <c r="F95" s="1" t="s">
        <v>18</v>
      </c>
      <c r="G95" s="1" t="str">
        <f t="shared" si="7"/>
        <v>Analyst</v>
      </c>
      <c r="H95" s="1">
        <v>99830</v>
      </c>
      <c r="I95" s="1">
        <f t="shared" si="8"/>
        <v>99830</v>
      </c>
      <c r="J95" s="1">
        <v>5</v>
      </c>
      <c r="K95" s="14">
        <f t="shared" si="9"/>
        <v>5</v>
      </c>
      <c r="L95" s="1">
        <v>5</v>
      </c>
      <c r="M95" s="1">
        <f t="shared" si="10"/>
        <v>5</v>
      </c>
      <c r="N95" s="1">
        <v>3</v>
      </c>
      <c r="O95" s="1">
        <f t="shared" si="11"/>
        <v>3</v>
      </c>
      <c r="P95" s="1" t="s">
        <v>20</v>
      </c>
      <c r="Q95" s="1">
        <v>19</v>
      </c>
      <c r="R95" s="1" t="s">
        <v>20</v>
      </c>
      <c r="S95" s="1" t="s">
        <v>30</v>
      </c>
      <c r="T95" s="1">
        <v>69</v>
      </c>
      <c r="U95" s="3" t="s">
        <v>31</v>
      </c>
    </row>
    <row r="96" spans="1:21" x14ac:dyDescent="0.25">
      <c r="A96" s="2" t="s">
        <v>133</v>
      </c>
      <c r="B96" s="1">
        <v>48</v>
      </c>
      <c r="C96" s="14">
        <f t="shared" si="6"/>
        <v>48</v>
      </c>
      <c r="D96" s="1" t="s">
        <v>16</v>
      </c>
      <c r="E96" s="1" t="s">
        <v>17</v>
      </c>
      <c r="F96" s="1" t="s">
        <v>35</v>
      </c>
      <c r="G96" s="1" t="str">
        <f t="shared" si="7"/>
        <v>Manager</v>
      </c>
      <c r="H96" s="1">
        <v>103814</v>
      </c>
      <c r="I96" s="1">
        <f t="shared" si="8"/>
        <v>103814</v>
      </c>
      <c r="J96" s="1">
        <v>5</v>
      </c>
      <c r="K96" s="14">
        <f t="shared" si="9"/>
        <v>5</v>
      </c>
      <c r="L96" s="1">
        <v>2</v>
      </c>
      <c r="M96" s="1">
        <f t="shared" si="10"/>
        <v>2</v>
      </c>
      <c r="N96" s="1">
        <v>4</v>
      </c>
      <c r="O96" s="1">
        <f t="shared" si="11"/>
        <v>4</v>
      </c>
      <c r="P96" s="1" t="s">
        <v>20</v>
      </c>
      <c r="Q96" s="1">
        <v>7</v>
      </c>
      <c r="R96" s="1" t="s">
        <v>20</v>
      </c>
      <c r="S96" s="1" t="s">
        <v>30</v>
      </c>
      <c r="T96" s="1">
        <v>63</v>
      </c>
      <c r="U96" s="3" t="s">
        <v>42</v>
      </c>
    </row>
    <row r="97" spans="1:21" x14ac:dyDescent="0.25">
      <c r="A97" s="2" t="s">
        <v>134</v>
      </c>
      <c r="B97" s="1">
        <v>47</v>
      </c>
      <c r="C97" s="14">
        <f t="shared" si="6"/>
        <v>47</v>
      </c>
      <c r="D97" s="1" t="s">
        <v>16</v>
      </c>
      <c r="E97" s="1" t="s">
        <v>29</v>
      </c>
      <c r="F97" s="1" t="s">
        <v>33</v>
      </c>
      <c r="G97" s="1" t="str">
        <f t="shared" si="7"/>
        <v>Engineer</v>
      </c>
      <c r="H97" s="1">
        <v>58963</v>
      </c>
      <c r="I97" s="1">
        <f t="shared" si="8"/>
        <v>58963</v>
      </c>
      <c r="J97" s="1">
        <v>3</v>
      </c>
      <c r="K97" s="14">
        <f t="shared" si="9"/>
        <v>3</v>
      </c>
      <c r="L97" s="1">
        <v>3</v>
      </c>
      <c r="M97" s="1">
        <f t="shared" si="10"/>
        <v>3</v>
      </c>
      <c r="N97" s="1">
        <v>2</v>
      </c>
      <c r="O97" s="1">
        <f t="shared" si="11"/>
        <v>2</v>
      </c>
      <c r="P97" s="1" t="s">
        <v>20</v>
      </c>
      <c r="Q97" s="1">
        <v>2</v>
      </c>
      <c r="R97" s="1" t="s">
        <v>19</v>
      </c>
      <c r="S97" s="1" t="s">
        <v>21</v>
      </c>
      <c r="T97" s="1">
        <v>16</v>
      </c>
      <c r="U97" s="3" t="s">
        <v>42</v>
      </c>
    </row>
    <row r="98" spans="1:21" x14ac:dyDescent="0.25">
      <c r="A98" s="2" t="s">
        <v>135</v>
      </c>
      <c r="B98" s="1">
        <v>27</v>
      </c>
      <c r="C98" s="14">
        <f t="shared" si="6"/>
        <v>27</v>
      </c>
      <c r="D98" s="1" t="s">
        <v>28</v>
      </c>
      <c r="E98" s="1" t="s">
        <v>51</v>
      </c>
      <c r="F98" s="1" t="s">
        <v>25</v>
      </c>
      <c r="G98" s="1" t="str">
        <f t="shared" si="7"/>
        <v>Associate</v>
      </c>
      <c r="H98" s="1">
        <v>25861</v>
      </c>
      <c r="I98" s="1">
        <f t="shared" si="8"/>
        <v>25861</v>
      </c>
      <c r="J98" s="1">
        <v>5</v>
      </c>
      <c r="K98" s="14">
        <f t="shared" si="9"/>
        <v>5</v>
      </c>
      <c r="L98" s="1">
        <v>5</v>
      </c>
      <c r="M98" s="1">
        <f t="shared" si="10"/>
        <v>5</v>
      </c>
      <c r="N98" s="1">
        <v>5</v>
      </c>
      <c r="O98" s="1">
        <f t="shared" si="11"/>
        <v>5</v>
      </c>
      <c r="P98" s="1" t="s">
        <v>20</v>
      </c>
      <c r="Q98" s="1">
        <v>3</v>
      </c>
      <c r="R98" s="1" t="s">
        <v>20</v>
      </c>
      <c r="S98" s="1" t="s">
        <v>30</v>
      </c>
      <c r="T98" s="1">
        <v>59</v>
      </c>
      <c r="U98" s="3" t="s">
        <v>22</v>
      </c>
    </row>
    <row r="99" spans="1:21" x14ac:dyDescent="0.25">
      <c r="A99" s="2" t="s">
        <v>136</v>
      </c>
      <c r="B99" s="1">
        <v>39</v>
      </c>
      <c r="C99" s="14">
        <f t="shared" si="6"/>
        <v>39</v>
      </c>
      <c r="D99" s="1" t="s">
        <v>28</v>
      </c>
      <c r="E99" s="1" t="s">
        <v>29</v>
      </c>
      <c r="F99" s="1" t="s">
        <v>35</v>
      </c>
      <c r="G99" s="1" t="str">
        <f t="shared" si="7"/>
        <v>Manager</v>
      </c>
      <c r="H99" s="1">
        <v>93748</v>
      </c>
      <c r="I99" s="1">
        <f t="shared" si="8"/>
        <v>93748</v>
      </c>
      <c r="J99" s="1">
        <v>5</v>
      </c>
      <c r="K99" s="14">
        <f t="shared" si="9"/>
        <v>5</v>
      </c>
      <c r="L99" s="1">
        <v>2</v>
      </c>
      <c r="M99" s="1">
        <f t="shared" si="10"/>
        <v>2</v>
      </c>
      <c r="N99" s="1">
        <v>2</v>
      </c>
      <c r="O99" s="1">
        <f t="shared" si="11"/>
        <v>2</v>
      </c>
      <c r="P99" s="1" t="s">
        <v>20</v>
      </c>
      <c r="Q99" s="1">
        <v>7</v>
      </c>
      <c r="R99" s="1" t="s">
        <v>19</v>
      </c>
      <c r="S99" s="1" t="s">
        <v>30</v>
      </c>
      <c r="T99" s="1">
        <v>76</v>
      </c>
      <c r="U99" s="3" t="s">
        <v>36</v>
      </c>
    </row>
    <row r="100" spans="1:21" x14ac:dyDescent="0.25">
      <c r="A100" s="2" t="s">
        <v>137</v>
      </c>
      <c r="B100" s="1">
        <v>28</v>
      </c>
      <c r="C100" s="14">
        <f t="shared" si="6"/>
        <v>28</v>
      </c>
      <c r="D100" s="1" t="s">
        <v>28</v>
      </c>
      <c r="E100" s="1" t="s">
        <v>24</v>
      </c>
      <c r="F100" s="1" t="s">
        <v>41</v>
      </c>
      <c r="G100" s="1" t="str">
        <f t="shared" si="7"/>
        <v>Executive</v>
      </c>
      <c r="H100" s="1">
        <v>74244</v>
      </c>
      <c r="I100" s="1">
        <f t="shared" si="8"/>
        <v>74244</v>
      </c>
      <c r="J100" s="1">
        <v>5</v>
      </c>
      <c r="K100" s="14">
        <f t="shared" si="9"/>
        <v>5</v>
      </c>
      <c r="L100" s="1">
        <v>5</v>
      </c>
      <c r="M100" s="1">
        <f t="shared" si="10"/>
        <v>5</v>
      </c>
      <c r="N100" s="1">
        <v>5</v>
      </c>
      <c r="O100" s="1">
        <f t="shared" si="11"/>
        <v>5</v>
      </c>
      <c r="P100" s="1" t="s">
        <v>19</v>
      </c>
      <c r="Q100" s="1">
        <v>19</v>
      </c>
      <c r="R100" s="1" t="s">
        <v>20</v>
      </c>
      <c r="S100" s="1" t="s">
        <v>21</v>
      </c>
      <c r="T100" s="1">
        <v>28</v>
      </c>
      <c r="U100" s="3" t="s">
        <v>36</v>
      </c>
    </row>
    <row r="101" spans="1:21" x14ac:dyDescent="0.25">
      <c r="A101" s="2" t="s">
        <v>138</v>
      </c>
      <c r="B101" s="1">
        <v>40</v>
      </c>
      <c r="C101" s="14">
        <f t="shared" si="6"/>
        <v>40</v>
      </c>
      <c r="D101" s="1" t="s">
        <v>28</v>
      </c>
      <c r="E101" s="1" t="s">
        <v>29</v>
      </c>
      <c r="F101" s="1" t="s">
        <v>559</v>
      </c>
      <c r="G101" s="1" t="str">
        <f t="shared" si="7"/>
        <v>Manager</v>
      </c>
      <c r="H101" s="1"/>
      <c r="I101" s="1">
        <f t="shared" si="8"/>
        <v>68925</v>
      </c>
      <c r="J101" s="1">
        <v>2</v>
      </c>
      <c r="K101" s="14">
        <f t="shared" si="9"/>
        <v>2</v>
      </c>
      <c r="L101" s="1">
        <v>5</v>
      </c>
      <c r="M101" s="1">
        <f t="shared" si="10"/>
        <v>5</v>
      </c>
      <c r="N101" s="1">
        <v>4</v>
      </c>
      <c r="O101" s="1">
        <f t="shared" si="11"/>
        <v>4</v>
      </c>
      <c r="P101" s="1" t="s">
        <v>19</v>
      </c>
      <c r="Q101" s="1">
        <v>4</v>
      </c>
      <c r="R101" s="1" t="s">
        <v>19</v>
      </c>
      <c r="S101" s="1" t="s">
        <v>21</v>
      </c>
      <c r="T101" s="1">
        <v>72</v>
      </c>
      <c r="U101" s="3" t="s">
        <v>44</v>
      </c>
    </row>
    <row r="102" spans="1:21" x14ac:dyDescent="0.25">
      <c r="A102" s="2" t="s">
        <v>139</v>
      </c>
      <c r="B102" s="1">
        <v>45</v>
      </c>
      <c r="C102" s="14">
        <f t="shared" si="6"/>
        <v>45</v>
      </c>
      <c r="D102" s="1" t="s">
        <v>28</v>
      </c>
      <c r="E102" s="1" t="s">
        <v>49</v>
      </c>
      <c r="F102" s="1" t="s">
        <v>560</v>
      </c>
      <c r="G102" s="1" t="str">
        <f t="shared" si="7"/>
        <v>Analyst</v>
      </c>
      <c r="H102" s="1">
        <v>38631</v>
      </c>
      <c r="I102" s="1">
        <f t="shared" si="8"/>
        <v>38631</v>
      </c>
      <c r="J102" s="1">
        <v>3</v>
      </c>
      <c r="K102" s="14">
        <f t="shared" si="9"/>
        <v>3</v>
      </c>
      <c r="L102" s="1">
        <v>3</v>
      </c>
      <c r="M102" s="1">
        <f t="shared" si="10"/>
        <v>3</v>
      </c>
      <c r="N102" s="1">
        <v>3</v>
      </c>
      <c r="O102" s="1">
        <f t="shared" si="11"/>
        <v>3</v>
      </c>
      <c r="P102" s="1" t="s">
        <v>19</v>
      </c>
      <c r="Q102" s="1">
        <v>1</v>
      </c>
      <c r="R102" s="1" t="s">
        <v>19</v>
      </c>
      <c r="S102" s="1" t="s">
        <v>21</v>
      </c>
      <c r="T102" s="1">
        <v>11</v>
      </c>
      <c r="U102" s="3" t="s">
        <v>22</v>
      </c>
    </row>
    <row r="103" spans="1:21" x14ac:dyDescent="0.25">
      <c r="A103" s="2" t="s">
        <v>140</v>
      </c>
      <c r="B103" s="1">
        <v>38</v>
      </c>
      <c r="C103" s="14">
        <f t="shared" si="6"/>
        <v>38</v>
      </c>
      <c r="D103" s="1" t="s">
        <v>28</v>
      </c>
      <c r="E103" s="1" t="s">
        <v>17</v>
      </c>
      <c r="F103" s="1" t="s">
        <v>33</v>
      </c>
      <c r="G103" s="1" t="str">
        <f t="shared" si="7"/>
        <v>Engineer</v>
      </c>
      <c r="H103" s="1">
        <v>81656</v>
      </c>
      <c r="I103" s="1">
        <f t="shared" si="8"/>
        <v>81656</v>
      </c>
      <c r="J103" s="1">
        <v>5</v>
      </c>
      <c r="K103" s="14">
        <f t="shared" si="9"/>
        <v>5</v>
      </c>
      <c r="L103" s="1">
        <v>4</v>
      </c>
      <c r="M103" s="1">
        <f t="shared" si="10"/>
        <v>4</v>
      </c>
      <c r="N103" s="1">
        <v>4</v>
      </c>
      <c r="O103" s="1">
        <f t="shared" si="11"/>
        <v>4</v>
      </c>
      <c r="P103" s="1" t="s">
        <v>20</v>
      </c>
      <c r="Q103" s="1">
        <v>6</v>
      </c>
      <c r="R103" s="1" t="s">
        <v>19</v>
      </c>
      <c r="S103" s="1" t="s">
        <v>30</v>
      </c>
      <c r="T103" s="1">
        <v>60</v>
      </c>
      <c r="U103" s="3" t="s">
        <v>22</v>
      </c>
    </row>
    <row r="104" spans="1:21" x14ac:dyDescent="0.25">
      <c r="A104" s="2" t="s">
        <v>141</v>
      </c>
      <c r="B104" s="1">
        <v>39</v>
      </c>
      <c r="C104" s="14">
        <f t="shared" si="6"/>
        <v>39</v>
      </c>
      <c r="D104" s="1" t="s">
        <v>28</v>
      </c>
      <c r="E104" s="1" t="s">
        <v>24</v>
      </c>
      <c r="F104" s="1" t="s">
        <v>38</v>
      </c>
      <c r="G104" s="1" t="str">
        <f t="shared" si="7"/>
        <v>Lead</v>
      </c>
      <c r="H104" s="1">
        <v>58425</v>
      </c>
      <c r="I104" s="1">
        <f t="shared" si="8"/>
        <v>58425</v>
      </c>
      <c r="J104" s="1">
        <v>1</v>
      </c>
      <c r="K104" s="14">
        <f t="shared" si="9"/>
        <v>1</v>
      </c>
      <c r="L104" s="1">
        <v>2</v>
      </c>
      <c r="M104" s="1">
        <f t="shared" si="10"/>
        <v>2</v>
      </c>
      <c r="N104" s="1">
        <v>4</v>
      </c>
      <c r="O104" s="1">
        <f t="shared" si="11"/>
        <v>4</v>
      </c>
      <c r="P104" s="1" t="s">
        <v>19</v>
      </c>
      <c r="Q104" s="1">
        <v>0</v>
      </c>
      <c r="R104" s="1" t="s">
        <v>19</v>
      </c>
      <c r="S104" s="1" t="s">
        <v>30</v>
      </c>
      <c r="T104" s="1">
        <v>32</v>
      </c>
      <c r="U104" s="3" t="s">
        <v>44</v>
      </c>
    </row>
    <row r="105" spans="1:21" x14ac:dyDescent="0.25">
      <c r="A105" s="2" t="s">
        <v>142</v>
      </c>
      <c r="B105" s="1">
        <v>37</v>
      </c>
      <c r="C105" s="14">
        <f t="shared" si="6"/>
        <v>37</v>
      </c>
      <c r="D105" s="1" t="s">
        <v>28</v>
      </c>
      <c r="E105" s="1" t="s">
        <v>29</v>
      </c>
      <c r="F105" s="1" t="s">
        <v>35</v>
      </c>
      <c r="G105" s="1" t="str">
        <f t="shared" si="7"/>
        <v>Manager</v>
      </c>
      <c r="H105" s="1"/>
      <c r="I105" s="1">
        <f t="shared" si="8"/>
        <v>68925</v>
      </c>
      <c r="J105" s="1">
        <v>4</v>
      </c>
      <c r="K105" s="14">
        <f t="shared" si="9"/>
        <v>4</v>
      </c>
      <c r="L105" s="1">
        <v>4</v>
      </c>
      <c r="M105" s="1">
        <f t="shared" si="10"/>
        <v>4</v>
      </c>
      <c r="N105" s="1">
        <v>2</v>
      </c>
      <c r="O105" s="1">
        <f t="shared" si="11"/>
        <v>2</v>
      </c>
      <c r="P105" s="1" t="s">
        <v>19</v>
      </c>
      <c r="Q105" s="1">
        <v>12</v>
      </c>
      <c r="R105" s="1" t="s">
        <v>19</v>
      </c>
      <c r="S105" s="1" t="s">
        <v>26</v>
      </c>
      <c r="T105" s="1">
        <v>76</v>
      </c>
      <c r="U105" s="3" t="s">
        <v>36</v>
      </c>
    </row>
    <row r="106" spans="1:21" x14ac:dyDescent="0.25">
      <c r="A106" s="2" t="s">
        <v>143</v>
      </c>
      <c r="B106" s="1">
        <v>25</v>
      </c>
      <c r="C106" s="14">
        <f t="shared" si="6"/>
        <v>25</v>
      </c>
      <c r="D106" s="1" t="s">
        <v>28</v>
      </c>
      <c r="E106" s="1" t="s">
        <v>17</v>
      </c>
      <c r="F106" s="1" t="s">
        <v>35</v>
      </c>
      <c r="G106" s="1" t="str">
        <f t="shared" si="7"/>
        <v>Manager</v>
      </c>
      <c r="H106" s="1">
        <v>75176</v>
      </c>
      <c r="I106" s="1">
        <f t="shared" si="8"/>
        <v>75176</v>
      </c>
      <c r="J106" s="1">
        <v>1</v>
      </c>
      <c r="K106" s="14">
        <f t="shared" si="9"/>
        <v>1</v>
      </c>
      <c r="L106" s="1">
        <v>4</v>
      </c>
      <c r="M106" s="1">
        <f t="shared" si="10"/>
        <v>4</v>
      </c>
      <c r="N106" s="1">
        <v>1</v>
      </c>
      <c r="O106" s="1">
        <f t="shared" si="11"/>
        <v>1</v>
      </c>
      <c r="P106" s="1" t="s">
        <v>20</v>
      </c>
      <c r="Q106" s="1">
        <v>18</v>
      </c>
      <c r="R106" s="1" t="s">
        <v>20</v>
      </c>
      <c r="S106" s="1" t="s">
        <v>26</v>
      </c>
      <c r="T106" s="1">
        <v>56</v>
      </c>
      <c r="U106" s="3" t="s">
        <v>42</v>
      </c>
    </row>
    <row r="107" spans="1:21" x14ac:dyDescent="0.25">
      <c r="A107" s="2" t="s">
        <v>144</v>
      </c>
      <c r="B107" s="1">
        <v>39</v>
      </c>
      <c r="C107" s="14">
        <f t="shared" si="6"/>
        <v>39</v>
      </c>
      <c r="D107" s="1" t="s">
        <v>16</v>
      </c>
      <c r="E107" s="1" t="s">
        <v>49</v>
      </c>
      <c r="F107" s="1" t="s">
        <v>35</v>
      </c>
      <c r="G107" s="1" t="str">
        <f t="shared" si="7"/>
        <v>Manager</v>
      </c>
      <c r="H107" s="1">
        <v>60568</v>
      </c>
      <c r="I107" s="1">
        <f t="shared" si="8"/>
        <v>60568</v>
      </c>
      <c r="J107" s="1">
        <v>2</v>
      </c>
      <c r="K107" s="14">
        <f t="shared" si="9"/>
        <v>2</v>
      </c>
      <c r="L107" s="1">
        <v>5</v>
      </c>
      <c r="M107" s="1">
        <f t="shared" si="10"/>
        <v>5</v>
      </c>
      <c r="N107" s="1">
        <v>4</v>
      </c>
      <c r="O107" s="1">
        <f t="shared" si="11"/>
        <v>4</v>
      </c>
      <c r="P107" s="1" t="s">
        <v>20</v>
      </c>
      <c r="Q107" s="1">
        <v>2</v>
      </c>
      <c r="R107" s="1" t="s">
        <v>20</v>
      </c>
      <c r="S107" s="1" t="s">
        <v>21</v>
      </c>
      <c r="T107" s="1">
        <v>36</v>
      </c>
      <c r="U107" s="3" t="s">
        <v>42</v>
      </c>
    </row>
    <row r="108" spans="1:21" x14ac:dyDescent="0.25">
      <c r="A108" s="2" t="s">
        <v>145</v>
      </c>
      <c r="B108" s="1">
        <v>58</v>
      </c>
      <c r="C108" s="14">
        <f t="shared" si="6"/>
        <v>58</v>
      </c>
      <c r="D108" s="1" t="s">
        <v>28</v>
      </c>
      <c r="E108" s="1" t="s">
        <v>24</v>
      </c>
      <c r="F108" s="1" t="s">
        <v>35</v>
      </c>
      <c r="G108" s="1" t="str">
        <f t="shared" si="7"/>
        <v>Manager</v>
      </c>
      <c r="H108" s="1">
        <v>69873</v>
      </c>
      <c r="I108" s="1">
        <f t="shared" si="8"/>
        <v>69873</v>
      </c>
      <c r="J108" s="1">
        <v>3</v>
      </c>
      <c r="K108" s="14">
        <f t="shared" si="9"/>
        <v>3</v>
      </c>
      <c r="L108" s="1">
        <v>3</v>
      </c>
      <c r="M108" s="1">
        <f t="shared" si="10"/>
        <v>3</v>
      </c>
      <c r="N108" s="1">
        <v>2</v>
      </c>
      <c r="O108" s="1">
        <f t="shared" si="11"/>
        <v>2</v>
      </c>
      <c r="P108" s="1" t="s">
        <v>20</v>
      </c>
      <c r="Q108" s="1">
        <v>5</v>
      </c>
      <c r="R108" s="1" t="s">
        <v>19</v>
      </c>
      <c r="S108" s="1" t="s">
        <v>26</v>
      </c>
      <c r="T108" s="1">
        <v>19</v>
      </c>
      <c r="U108" s="3" t="s">
        <v>31</v>
      </c>
    </row>
    <row r="109" spans="1:21" x14ac:dyDescent="0.25">
      <c r="A109" s="2" t="s">
        <v>146</v>
      </c>
      <c r="B109" s="1">
        <v>53</v>
      </c>
      <c r="C109" s="14">
        <f t="shared" si="6"/>
        <v>53</v>
      </c>
      <c r="D109" s="1" t="s">
        <v>16</v>
      </c>
      <c r="E109" s="1" t="s">
        <v>29</v>
      </c>
      <c r="F109" s="1" t="s">
        <v>18</v>
      </c>
      <c r="G109" s="1" t="str">
        <f t="shared" si="7"/>
        <v>Analyst</v>
      </c>
      <c r="H109" s="1">
        <v>113339</v>
      </c>
      <c r="I109" s="1">
        <f t="shared" si="8"/>
        <v>113339</v>
      </c>
      <c r="J109" s="1">
        <v>2</v>
      </c>
      <c r="K109" s="14">
        <f t="shared" si="9"/>
        <v>2</v>
      </c>
      <c r="L109" s="1">
        <v>2</v>
      </c>
      <c r="M109" s="1">
        <f t="shared" si="10"/>
        <v>2</v>
      </c>
      <c r="N109" s="1">
        <v>1</v>
      </c>
      <c r="O109" s="1">
        <f t="shared" si="11"/>
        <v>1</v>
      </c>
      <c r="P109" s="1" t="s">
        <v>19</v>
      </c>
      <c r="Q109" s="1">
        <v>8</v>
      </c>
      <c r="R109" s="1" t="s">
        <v>19</v>
      </c>
      <c r="S109" s="1" t="s">
        <v>21</v>
      </c>
      <c r="T109" s="1">
        <v>24</v>
      </c>
      <c r="U109" s="3" t="s">
        <v>22</v>
      </c>
    </row>
    <row r="110" spans="1:21" x14ac:dyDescent="0.25">
      <c r="A110" s="2" t="s">
        <v>147</v>
      </c>
      <c r="B110" s="1">
        <v>32</v>
      </c>
      <c r="C110" s="14">
        <f t="shared" si="6"/>
        <v>32</v>
      </c>
      <c r="D110" s="1" t="s">
        <v>28</v>
      </c>
      <c r="E110" s="1" t="s">
        <v>49</v>
      </c>
      <c r="F110" s="1" t="s">
        <v>25</v>
      </c>
      <c r="G110" s="1" t="str">
        <f t="shared" si="7"/>
        <v>Associate</v>
      </c>
      <c r="H110" s="1">
        <v>117598</v>
      </c>
      <c r="I110" s="1">
        <f t="shared" si="8"/>
        <v>117598</v>
      </c>
      <c r="J110" s="1">
        <v>5</v>
      </c>
      <c r="K110" s="14">
        <f t="shared" si="9"/>
        <v>5</v>
      </c>
      <c r="L110" s="1">
        <v>4</v>
      </c>
      <c r="M110" s="1">
        <f t="shared" si="10"/>
        <v>4</v>
      </c>
      <c r="N110" s="1">
        <v>5</v>
      </c>
      <c r="O110" s="1">
        <f t="shared" si="11"/>
        <v>5</v>
      </c>
      <c r="P110" s="1" t="s">
        <v>20</v>
      </c>
      <c r="Q110" s="1">
        <v>20</v>
      </c>
      <c r="R110" s="1" t="s">
        <v>20</v>
      </c>
      <c r="S110" s="1" t="s">
        <v>21</v>
      </c>
      <c r="T110" s="1">
        <v>61</v>
      </c>
      <c r="U110" s="3" t="s">
        <v>22</v>
      </c>
    </row>
    <row r="111" spans="1:21" x14ac:dyDescent="0.25">
      <c r="A111" s="2" t="s">
        <v>148</v>
      </c>
      <c r="B111" s="1">
        <v>51</v>
      </c>
      <c r="C111" s="14">
        <f t="shared" si="6"/>
        <v>51</v>
      </c>
      <c r="D111" s="1" t="s">
        <v>28</v>
      </c>
      <c r="E111" s="1" t="s">
        <v>17</v>
      </c>
      <c r="F111" s="1" t="s">
        <v>18</v>
      </c>
      <c r="G111" s="1" t="str">
        <f t="shared" si="7"/>
        <v>Analyst</v>
      </c>
      <c r="H111" s="1">
        <v>54002</v>
      </c>
      <c r="I111" s="1">
        <f t="shared" si="8"/>
        <v>54002</v>
      </c>
      <c r="J111" s="1">
        <v>5</v>
      </c>
      <c r="K111" s="14">
        <f t="shared" si="9"/>
        <v>5</v>
      </c>
      <c r="L111" s="1">
        <v>1</v>
      </c>
      <c r="M111" s="1">
        <f t="shared" si="10"/>
        <v>1</v>
      </c>
      <c r="N111" s="1">
        <v>3</v>
      </c>
      <c r="O111" s="1">
        <f t="shared" si="11"/>
        <v>3</v>
      </c>
      <c r="P111" s="1" t="s">
        <v>19</v>
      </c>
      <c r="Q111" s="1">
        <v>9</v>
      </c>
      <c r="R111" s="1" t="s">
        <v>20</v>
      </c>
      <c r="S111" s="1" t="s">
        <v>30</v>
      </c>
      <c r="T111" s="1">
        <v>9</v>
      </c>
      <c r="U111" s="3" t="s">
        <v>22</v>
      </c>
    </row>
    <row r="112" spans="1:21" x14ac:dyDescent="0.25">
      <c r="A112" s="2" t="s">
        <v>149</v>
      </c>
      <c r="B112" s="1"/>
      <c r="C112" s="14">
        <f t="shared" si="6"/>
        <v>39</v>
      </c>
      <c r="D112" s="1" t="s">
        <v>28</v>
      </c>
      <c r="E112" s="1" t="s">
        <v>40</v>
      </c>
      <c r="F112" s="1" t="s">
        <v>38</v>
      </c>
      <c r="G112" s="1" t="str">
        <f t="shared" si="7"/>
        <v>Lead</v>
      </c>
      <c r="H112" s="1"/>
      <c r="I112" s="1">
        <f t="shared" si="8"/>
        <v>68925</v>
      </c>
      <c r="J112" s="1">
        <v>5</v>
      </c>
      <c r="K112" s="14">
        <f t="shared" si="9"/>
        <v>5</v>
      </c>
      <c r="L112" s="1">
        <v>5</v>
      </c>
      <c r="M112" s="1">
        <f t="shared" si="10"/>
        <v>5</v>
      </c>
      <c r="N112" s="1">
        <v>5</v>
      </c>
      <c r="O112" s="1">
        <f t="shared" si="11"/>
        <v>5</v>
      </c>
      <c r="P112" s="1" t="s">
        <v>20</v>
      </c>
      <c r="Q112" s="1">
        <v>14</v>
      </c>
      <c r="R112" s="1" t="s">
        <v>19</v>
      </c>
      <c r="S112" s="1" t="s">
        <v>30</v>
      </c>
      <c r="T112" s="1">
        <v>78</v>
      </c>
      <c r="U112" s="3" t="s">
        <v>44</v>
      </c>
    </row>
    <row r="113" spans="1:21" x14ac:dyDescent="0.25">
      <c r="A113" s="2" t="s">
        <v>150</v>
      </c>
      <c r="B113" s="1">
        <v>41</v>
      </c>
      <c r="C113" s="14">
        <f t="shared" si="6"/>
        <v>41</v>
      </c>
      <c r="D113" s="1" t="s">
        <v>28</v>
      </c>
      <c r="E113" s="1" t="s">
        <v>24</v>
      </c>
      <c r="F113" s="1" t="s">
        <v>41</v>
      </c>
      <c r="G113" s="1" t="str">
        <f t="shared" si="7"/>
        <v>Executive</v>
      </c>
      <c r="H113" s="1">
        <v>26109</v>
      </c>
      <c r="I113" s="1">
        <f t="shared" si="8"/>
        <v>26109</v>
      </c>
      <c r="J113" s="1">
        <v>4</v>
      </c>
      <c r="K113" s="14">
        <f t="shared" si="9"/>
        <v>4</v>
      </c>
      <c r="L113" s="1">
        <v>1</v>
      </c>
      <c r="M113" s="1">
        <f t="shared" si="10"/>
        <v>1</v>
      </c>
      <c r="N113" s="1">
        <v>3</v>
      </c>
      <c r="O113" s="1">
        <f t="shared" si="11"/>
        <v>3</v>
      </c>
      <c r="P113" s="1" t="s">
        <v>19</v>
      </c>
      <c r="Q113" s="1">
        <v>16</v>
      </c>
      <c r="R113" s="1" t="s">
        <v>19</v>
      </c>
      <c r="S113" s="1" t="s">
        <v>21</v>
      </c>
      <c r="T113" s="1">
        <v>36</v>
      </c>
      <c r="U113" s="3" t="s">
        <v>42</v>
      </c>
    </row>
    <row r="114" spans="1:21" x14ac:dyDescent="0.25">
      <c r="A114" s="2" t="s">
        <v>151</v>
      </c>
      <c r="B114" s="1">
        <v>49</v>
      </c>
      <c r="C114" s="14">
        <f t="shared" si="6"/>
        <v>49</v>
      </c>
      <c r="D114" s="1" t="s">
        <v>16</v>
      </c>
      <c r="E114" s="1" t="s">
        <v>29</v>
      </c>
      <c r="F114" s="1" t="s">
        <v>18</v>
      </c>
      <c r="G114" s="1" t="str">
        <f t="shared" si="7"/>
        <v>Analyst</v>
      </c>
      <c r="H114" s="1">
        <v>55079</v>
      </c>
      <c r="I114" s="1">
        <f t="shared" si="8"/>
        <v>55079</v>
      </c>
      <c r="J114" s="1"/>
      <c r="K114" s="14">
        <f t="shared" si="9"/>
        <v>3</v>
      </c>
      <c r="L114" s="1">
        <v>4</v>
      </c>
      <c r="M114" s="1">
        <f t="shared" si="10"/>
        <v>4</v>
      </c>
      <c r="N114" s="1">
        <v>3</v>
      </c>
      <c r="O114" s="1">
        <f t="shared" si="11"/>
        <v>3</v>
      </c>
      <c r="P114" s="1" t="s">
        <v>19</v>
      </c>
      <c r="Q114" s="1">
        <v>20</v>
      </c>
      <c r="R114" s="1" t="s">
        <v>20</v>
      </c>
      <c r="S114" s="1" t="s">
        <v>21</v>
      </c>
      <c r="T114" s="1">
        <v>47</v>
      </c>
      <c r="U114" s="3" t="s">
        <v>22</v>
      </c>
    </row>
    <row r="115" spans="1:21" x14ac:dyDescent="0.25">
      <c r="A115" s="2" t="s">
        <v>152</v>
      </c>
      <c r="B115" s="1">
        <v>56</v>
      </c>
      <c r="C115" s="14">
        <f t="shared" si="6"/>
        <v>56</v>
      </c>
      <c r="D115" s="1" t="s">
        <v>28</v>
      </c>
      <c r="E115" s="1" t="s">
        <v>29</v>
      </c>
      <c r="F115" s="1" t="s">
        <v>18</v>
      </c>
      <c r="G115" s="1" t="str">
        <f t="shared" si="7"/>
        <v>Analyst</v>
      </c>
      <c r="H115" s="1">
        <v>112861</v>
      </c>
      <c r="I115" s="1">
        <f t="shared" si="8"/>
        <v>112861</v>
      </c>
      <c r="J115" s="1">
        <v>5</v>
      </c>
      <c r="K115" s="14">
        <f t="shared" si="9"/>
        <v>5</v>
      </c>
      <c r="L115" s="1">
        <v>2</v>
      </c>
      <c r="M115" s="1">
        <f t="shared" si="10"/>
        <v>2</v>
      </c>
      <c r="N115" s="1"/>
      <c r="O115" s="1">
        <f t="shared" si="11"/>
        <v>3</v>
      </c>
      <c r="P115" s="1" t="s">
        <v>19</v>
      </c>
      <c r="Q115" s="1">
        <v>18</v>
      </c>
      <c r="R115" s="1" t="s">
        <v>19</v>
      </c>
      <c r="S115" s="1" t="s">
        <v>30</v>
      </c>
      <c r="T115" s="1">
        <v>44</v>
      </c>
      <c r="U115" s="3" t="s">
        <v>42</v>
      </c>
    </row>
    <row r="116" spans="1:21" x14ac:dyDescent="0.25">
      <c r="A116" s="2" t="s">
        <v>153</v>
      </c>
      <c r="B116" s="1">
        <v>29</v>
      </c>
      <c r="C116" s="14">
        <f t="shared" si="6"/>
        <v>29</v>
      </c>
      <c r="D116" s="1" t="s">
        <v>16</v>
      </c>
      <c r="E116" s="1" t="s">
        <v>29</v>
      </c>
      <c r="F116" s="1" t="s">
        <v>25</v>
      </c>
      <c r="G116" s="1" t="str">
        <f t="shared" si="7"/>
        <v>Associate</v>
      </c>
      <c r="H116" s="1">
        <v>67372</v>
      </c>
      <c r="I116" s="1">
        <f t="shared" si="8"/>
        <v>67372</v>
      </c>
      <c r="J116" s="1">
        <v>3</v>
      </c>
      <c r="K116" s="14">
        <f t="shared" si="9"/>
        <v>3</v>
      </c>
      <c r="L116" s="1">
        <v>2</v>
      </c>
      <c r="M116" s="1">
        <f t="shared" si="10"/>
        <v>2</v>
      </c>
      <c r="N116" s="1">
        <v>5</v>
      </c>
      <c r="O116" s="1">
        <f t="shared" si="11"/>
        <v>5</v>
      </c>
      <c r="P116" s="1" t="s">
        <v>19</v>
      </c>
      <c r="Q116" s="1">
        <v>20</v>
      </c>
      <c r="R116" s="1" t="s">
        <v>20</v>
      </c>
      <c r="S116" s="1" t="s">
        <v>26</v>
      </c>
      <c r="T116" s="1">
        <v>51</v>
      </c>
      <c r="U116" s="3" t="s">
        <v>22</v>
      </c>
    </row>
    <row r="117" spans="1:21" x14ac:dyDescent="0.25">
      <c r="A117" s="2" t="s">
        <v>154</v>
      </c>
      <c r="B117" s="1">
        <v>44</v>
      </c>
      <c r="C117" s="14">
        <f t="shared" si="6"/>
        <v>44</v>
      </c>
      <c r="D117" s="1" t="s">
        <v>28</v>
      </c>
      <c r="E117" s="1" t="s">
        <v>51</v>
      </c>
      <c r="F117" s="1" t="s">
        <v>41</v>
      </c>
      <c r="G117" s="1" t="str">
        <f t="shared" si="7"/>
        <v>Executive</v>
      </c>
      <c r="H117" s="1">
        <v>62791</v>
      </c>
      <c r="I117" s="1">
        <f t="shared" si="8"/>
        <v>62791</v>
      </c>
      <c r="J117" s="1">
        <v>4</v>
      </c>
      <c r="K117" s="14">
        <f t="shared" si="9"/>
        <v>4</v>
      </c>
      <c r="L117" s="1">
        <v>2</v>
      </c>
      <c r="M117" s="1">
        <f t="shared" si="10"/>
        <v>2</v>
      </c>
      <c r="N117" s="1">
        <v>2</v>
      </c>
      <c r="O117" s="1">
        <f t="shared" si="11"/>
        <v>2</v>
      </c>
      <c r="P117" s="1" t="s">
        <v>19</v>
      </c>
      <c r="Q117" s="1">
        <v>4</v>
      </c>
      <c r="R117" s="1" t="s">
        <v>19</v>
      </c>
      <c r="S117" s="1" t="s">
        <v>30</v>
      </c>
      <c r="T117" s="1">
        <v>17</v>
      </c>
      <c r="U117" s="3" t="s">
        <v>31</v>
      </c>
    </row>
    <row r="118" spans="1:21" x14ac:dyDescent="0.25">
      <c r="A118" s="2" t="s">
        <v>155</v>
      </c>
      <c r="B118" s="1">
        <v>55</v>
      </c>
      <c r="C118" s="14">
        <f t="shared" si="6"/>
        <v>55</v>
      </c>
      <c r="D118" s="1" t="s">
        <v>16</v>
      </c>
      <c r="E118" s="1" t="s">
        <v>17</v>
      </c>
      <c r="F118" s="1" t="s">
        <v>18</v>
      </c>
      <c r="G118" s="1" t="str">
        <f t="shared" si="7"/>
        <v>Analyst</v>
      </c>
      <c r="H118" s="1">
        <v>118441</v>
      </c>
      <c r="I118" s="1">
        <f t="shared" si="8"/>
        <v>118441</v>
      </c>
      <c r="J118" s="1">
        <v>5</v>
      </c>
      <c r="K118" s="14">
        <f t="shared" si="9"/>
        <v>5</v>
      </c>
      <c r="L118" s="1">
        <v>2</v>
      </c>
      <c r="M118" s="1">
        <f t="shared" si="10"/>
        <v>2</v>
      </c>
      <c r="N118" s="1">
        <v>5</v>
      </c>
      <c r="O118" s="1">
        <f t="shared" si="11"/>
        <v>5</v>
      </c>
      <c r="P118" s="1" t="s">
        <v>20</v>
      </c>
      <c r="Q118" s="1">
        <v>4</v>
      </c>
      <c r="R118" s="1" t="s">
        <v>19</v>
      </c>
      <c r="S118" s="1" t="s">
        <v>21</v>
      </c>
      <c r="T118" s="1">
        <v>26</v>
      </c>
      <c r="U118" s="3" t="s">
        <v>42</v>
      </c>
    </row>
    <row r="119" spans="1:21" x14ac:dyDescent="0.25">
      <c r="A119" s="2" t="s">
        <v>156</v>
      </c>
      <c r="B119" s="1"/>
      <c r="C119" s="14">
        <f t="shared" si="6"/>
        <v>39</v>
      </c>
      <c r="D119" s="1" t="s">
        <v>28</v>
      </c>
      <c r="E119" s="1" t="s">
        <v>29</v>
      </c>
      <c r="F119" s="1" t="s">
        <v>38</v>
      </c>
      <c r="G119" s="1" t="str">
        <f t="shared" si="7"/>
        <v>Lead</v>
      </c>
      <c r="H119" s="1">
        <v>112317</v>
      </c>
      <c r="I119" s="1">
        <f t="shared" si="8"/>
        <v>112317</v>
      </c>
      <c r="J119" s="1">
        <v>2</v>
      </c>
      <c r="K119" s="14">
        <f t="shared" si="9"/>
        <v>2</v>
      </c>
      <c r="L119" s="1">
        <v>4</v>
      </c>
      <c r="M119" s="1">
        <f t="shared" si="10"/>
        <v>4</v>
      </c>
      <c r="N119" s="1">
        <v>5</v>
      </c>
      <c r="O119" s="1">
        <f t="shared" si="11"/>
        <v>5</v>
      </c>
      <c r="P119" s="1" t="s">
        <v>20</v>
      </c>
      <c r="Q119" s="1">
        <v>14</v>
      </c>
      <c r="R119" s="1" t="s">
        <v>19</v>
      </c>
      <c r="S119" s="1" t="s">
        <v>26</v>
      </c>
      <c r="T119" s="1">
        <v>35</v>
      </c>
      <c r="U119" s="3" t="s">
        <v>36</v>
      </c>
    </row>
    <row r="120" spans="1:21" x14ac:dyDescent="0.25">
      <c r="A120" s="2" t="s">
        <v>157</v>
      </c>
      <c r="B120" s="1">
        <v>51</v>
      </c>
      <c r="C120" s="14">
        <f t="shared" si="6"/>
        <v>51</v>
      </c>
      <c r="D120" s="1" t="s">
        <v>16</v>
      </c>
      <c r="E120" s="1" t="s">
        <v>29</v>
      </c>
      <c r="F120" s="1" t="s">
        <v>561</v>
      </c>
      <c r="G120" s="1" t="str">
        <f t="shared" si="7"/>
        <v>Lead</v>
      </c>
      <c r="H120" s="1">
        <v>92766</v>
      </c>
      <c r="I120" s="1">
        <f t="shared" si="8"/>
        <v>92766</v>
      </c>
      <c r="J120" s="1">
        <v>4</v>
      </c>
      <c r="K120" s="14">
        <f t="shared" si="9"/>
        <v>4</v>
      </c>
      <c r="L120" s="1">
        <v>4</v>
      </c>
      <c r="M120" s="1">
        <f t="shared" si="10"/>
        <v>4</v>
      </c>
      <c r="N120" s="1">
        <v>3</v>
      </c>
      <c r="O120" s="1">
        <f t="shared" si="11"/>
        <v>3</v>
      </c>
      <c r="P120" s="1" t="s">
        <v>20</v>
      </c>
      <c r="Q120" s="1">
        <v>16</v>
      </c>
      <c r="R120" s="1" t="s">
        <v>20</v>
      </c>
      <c r="S120" s="1" t="s">
        <v>21</v>
      </c>
      <c r="T120" s="1">
        <v>30</v>
      </c>
      <c r="U120" s="3" t="s">
        <v>31</v>
      </c>
    </row>
    <row r="121" spans="1:21" x14ac:dyDescent="0.25">
      <c r="A121" s="2" t="s">
        <v>158</v>
      </c>
      <c r="B121" s="1">
        <v>29</v>
      </c>
      <c r="C121" s="14">
        <f t="shared" si="6"/>
        <v>29</v>
      </c>
      <c r="D121" s="1" t="s">
        <v>28</v>
      </c>
      <c r="E121" s="1" t="s">
        <v>40</v>
      </c>
      <c r="F121" s="1" t="s">
        <v>38</v>
      </c>
      <c r="G121" s="1" t="str">
        <f t="shared" si="7"/>
        <v>Lead</v>
      </c>
      <c r="H121" s="1">
        <v>80991</v>
      </c>
      <c r="I121" s="1">
        <f t="shared" si="8"/>
        <v>80991</v>
      </c>
      <c r="J121" s="1">
        <v>3</v>
      </c>
      <c r="K121" s="14">
        <f t="shared" si="9"/>
        <v>3</v>
      </c>
      <c r="L121" s="1">
        <v>5</v>
      </c>
      <c r="M121" s="1">
        <f t="shared" si="10"/>
        <v>5</v>
      </c>
      <c r="N121" s="1">
        <v>1</v>
      </c>
      <c r="O121" s="1">
        <f t="shared" si="11"/>
        <v>1</v>
      </c>
      <c r="P121" s="1" t="s">
        <v>19</v>
      </c>
      <c r="Q121" s="1">
        <v>9</v>
      </c>
      <c r="R121" s="1" t="s">
        <v>19</v>
      </c>
      <c r="S121" s="1" t="s">
        <v>21</v>
      </c>
      <c r="T121" s="1">
        <v>39</v>
      </c>
      <c r="U121" s="3" t="s">
        <v>42</v>
      </c>
    </row>
    <row r="122" spans="1:21" x14ac:dyDescent="0.25">
      <c r="A122" s="2" t="s">
        <v>159</v>
      </c>
      <c r="B122" s="1">
        <v>53</v>
      </c>
      <c r="C122" s="14">
        <f t="shared" si="6"/>
        <v>53</v>
      </c>
      <c r="D122" s="1" t="s">
        <v>16</v>
      </c>
      <c r="E122" s="1" t="s">
        <v>49</v>
      </c>
      <c r="F122" s="1" t="s">
        <v>35</v>
      </c>
      <c r="G122" s="1" t="str">
        <f t="shared" si="7"/>
        <v>Manager</v>
      </c>
      <c r="H122" s="1">
        <v>47102</v>
      </c>
      <c r="I122" s="1">
        <f t="shared" si="8"/>
        <v>47102</v>
      </c>
      <c r="J122" s="1">
        <v>4</v>
      </c>
      <c r="K122" s="14">
        <f t="shared" si="9"/>
        <v>4</v>
      </c>
      <c r="L122" s="1">
        <v>3</v>
      </c>
      <c r="M122" s="1">
        <f t="shared" si="10"/>
        <v>3</v>
      </c>
      <c r="N122" s="1">
        <v>1</v>
      </c>
      <c r="O122" s="1">
        <f t="shared" si="11"/>
        <v>1</v>
      </c>
      <c r="P122" s="1" t="s">
        <v>20</v>
      </c>
      <c r="Q122" s="1">
        <v>1</v>
      </c>
      <c r="R122" s="1" t="s">
        <v>20</v>
      </c>
      <c r="S122" s="1" t="s">
        <v>26</v>
      </c>
      <c r="T122" s="1">
        <v>52</v>
      </c>
      <c r="U122" s="3" t="s">
        <v>44</v>
      </c>
    </row>
    <row r="123" spans="1:21" x14ac:dyDescent="0.25">
      <c r="A123" s="2" t="s">
        <v>160</v>
      </c>
      <c r="B123" s="1">
        <v>45</v>
      </c>
      <c r="C123" s="14">
        <f t="shared" si="6"/>
        <v>45</v>
      </c>
      <c r="D123" s="1" t="s">
        <v>16</v>
      </c>
      <c r="E123" s="1" t="s">
        <v>29</v>
      </c>
      <c r="F123" s="1" t="s">
        <v>41</v>
      </c>
      <c r="G123" s="1" t="str">
        <f t="shared" si="7"/>
        <v>Executive</v>
      </c>
      <c r="H123" s="1">
        <v>21694</v>
      </c>
      <c r="I123" s="1">
        <f t="shared" si="8"/>
        <v>21694</v>
      </c>
      <c r="J123" s="1">
        <v>3</v>
      </c>
      <c r="K123" s="14">
        <f t="shared" si="9"/>
        <v>3</v>
      </c>
      <c r="L123" s="1">
        <v>1</v>
      </c>
      <c r="M123" s="1">
        <f t="shared" si="10"/>
        <v>1</v>
      </c>
      <c r="N123" s="1">
        <v>3</v>
      </c>
      <c r="O123" s="1">
        <f t="shared" si="11"/>
        <v>3</v>
      </c>
      <c r="P123" s="1" t="s">
        <v>19</v>
      </c>
      <c r="Q123" s="1">
        <v>4</v>
      </c>
      <c r="R123" s="1" t="s">
        <v>19</v>
      </c>
      <c r="S123" s="1" t="s">
        <v>30</v>
      </c>
      <c r="T123" s="1">
        <v>65</v>
      </c>
      <c r="U123" s="3" t="s">
        <v>44</v>
      </c>
    </row>
    <row r="124" spans="1:21" x14ac:dyDescent="0.25">
      <c r="A124" s="2" t="s">
        <v>161</v>
      </c>
      <c r="B124" s="1">
        <v>51</v>
      </c>
      <c r="C124" s="14">
        <f t="shared" si="6"/>
        <v>51</v>
      </c>
      <c r="D124" s="1" t="s">
        <v>28</v>
      </c>
      <c r="E124" s="1" t="s">
        <v>24</v>
      </c>
      <c r="F124" s="1" t="s">
        <v>35</v>
      </c>
      <c r="G124" s="1" t="str">
        <f t="shared" si="7"/>
        <v>Manager</v>
      </c>
      <c r="H124" s="1">
        <v>28384</v>
      </c>
      <c r="I124" s="1">
        <f t="shared" si="8"/>
        <v>28384</v>
      </c>
      <c r="J124" s="1">
        <v>1</v>
      </c>
      <c r="K124" s="14">
        <f t="shared" si="9"/>
        <v>1</v>
      </c>
      <c r="L124" s="1">
        <v>3</v>
      </c>
      <c r="M124" s="1">
        <f t="shared" si="10"/>
        <v>3</v>
      </c>
      <c r="N124" s="1">
        <v>2</v>
      </c>
      <c r="O124" s="1">
        <f t="shared" si="11"/>
        <v>2</v>
      </c>
      <c r="P124" s="1" t="s">
        <v>19</v>
      </c>
      <c r="Q124" s="1">
        <v>17</v>
      </c>
      <c r="R124" s="1" t="s">
        <v>20</v>
      </c>
      <c r="S124" s="1" t="s">
        <v>21</v>
      </c>
      <c r="T124" s="1">
        <v>41</v>
      </c>
      <c r="U124" s="3" t="s">
        <v>44</v>
      </c>
    </row>
    <row r="125" spans="1:21" x14ac:dyDescent="0.25">
      <c r="A125" s="2" t="s">
        <v>162</v>
      </c>
      <c r="B125" s="1">
        <v>40</v>
      </c>
      <c r="C125" s="14">
        <f t="shared" si="6"/>
        <v>40</v>
      </c>
      <c r="D125" s="1" t="s">
        <v>16</v>
      </c>
      <c r="E125" s="1" t="s">
        <v>40</v>
      </c>
      <c r="F125" s="1" t="s">
        <v>41</v>
      </c>
      <c r="G125" s="1" t="str">
        <f t="shared" si="7"/>
        <v>Executive</v>
      </c>
      <c r="H125" s="1">
        <v>73027</v>
      </c>
      <c r="I125" s="1">
        <f t="shared" si="8"/>
        <v>73027</v>
      </c>
      <c r="J125" s="1">
        <v>5</v>
      </c>
      <c r="K125" s="14">
        <f t="shared" si="9"/>
        <v>5</v>
      </c>
      <c r="L125" s="1">
        <v>4</v>
      </c>
      <c r="M125" s="1">
        <f t="shared" si="10"/>
        <v>4</v>
      </c>
      <c r="N125" s="1">
        <v>1</v>
      </c>
      <c r="O125" s="1">
        <f t="shared" si="11"/>
        <v>1</v>
      </c>
      <c r="P125" s="1" t="s">
        <v>19</v>
      </c>
      <c r="Q125" s="1">
        <v>15</v>
      </c>
      <c r="R125" s="1" t="s">
        <v>19</v>
      </c>
      <c r="S125" s="1" t="s">
        <v>26</v>
      </c>
      <c r="T125" s="1">
        <v>70</v>
      </c>
      <c r="U125" s="3" t="s">
        <v>31</v>
      </c>
    </row>
    <row r="126" spans="1:21" x14ac:dyDescent="0.25">
      <c r="A126" s="2" t="s">
        <v>163</v>
      </c>
      <c r="B126" s="1">
        <v>36</v>
      </c>
      <c r="C126" s="14">
        <f t="shared" si="6"/>
        <v>36</v>
      </c>
      <c r="D126" s="1" t="s">
        <v>16</v>
      </c>
      <c r="E126" s="1" t="s">
        <v>29</v>
      </c>
      <c r="F126" s="1" t="s">
        <v>33</v>
      </c>
      <c r="G126" s="1" t="str">
        <f t="shared" si="7"/>
        <v>Engineer</v>
      </c>
      <c r="H126" s="1">
        <v>18205</v>
      </c>
      <c r="I126" s="1">
        <f t="shared" si="8"/>
        <v>18205</v>
      </c>
      <c r="J126" s="1">
        <v>5</v>
      </c>
      <c r="K126" s="14">
        <f t="shared" si="9"/>
        <v>5</v>
      </c>
      <c r="L126" s="1">
        <v>3</v>
      </c>
      <c r="M126" s="1">
        <f t="shared" si="10"/>
        <v>3</v>
      </c>
      <c r="N126" s="1">
        <v>2</v>
      </c>
      <c r="O126" s="1">
        <f t="shared" si="11"/>
        <v>2</v>
      </c>
      <c r="P126" s="1" t="s">
        <v>20</v>
      </c>
      <c r="Q126" s="1">
        <v>5</v>
      </c>
      <c r="R126" s="1" t="s">
        <v>19</v>
      </c>
      <c r="S126" s="1" t="s">
        <v>26</v>
      </c>
      <c r="T126" s="1">
        <v>51</v>
      </c>
      <c r="U126" s="3" t="s">
        <v>22</v>
      </c>
    </row>
    <row r="127" spans="1:21" x14ac:dyDescent="0.25">
      <c r="A127" s="2" t="s">
        <v>164</v>
      </c>
      <c r="B127" s="1">
        <v>54</v>
      </c>
      <c r="C127" s="14">
        <f t="shared" si="6"/>
        <v>54</v>
      </c>
      <c r="D127" s="1" t="s">
        <v>16</v>
      </c>
      <c r="E127" s="1" t="s">
        <v>49</v>
      </c>
      <c r="F127" s="1" t="s">
        <v>33</v>
      </c>
      <c r="G127" s="1" t="str">
        <f t="shared" si="7"/>
        <v>Engineer</v>
      </c>
      <c r="H127" s="1">
        <v>23706</v>
      </c>
      <c r="I127" s="1">
        <f t="shared" si="8"/>
        <v>23706</v>
      </c>
      <c r="J127" s="1">
        <v>4</v>
      </c>
      <c r="K127" s="14">
        <f t="shared" si="9"/>
        <v>4</v>
      </c>
      <c r="L127" s="1">
        <v>3</v>
      </c>
      <c r="M127" s="1">
        <f t="shared" si="10"/>
        <v>3</v>
      </c>
      <c r="N127" s="1">
        <v>3</v>
      </c>
      <c r="O127" s="1">
        <f t="shared" si="11"/>
        <v>3</v>
      </c>
      <c r="P127" s="1" t="s">
        <v>19</v>
      </c>
      <c r="Q127" s="1">
        <v>11</v>
      </c>
      <c r="R127" s="1" t="s">
        <v>19</v>
      </c>
      <c r="S127" s="1" t="s">
        <v>30</v>
      </c>
      <c r="T127" s="1">
        <v>35</v>
      </c>
      <c r="U127" s="3" t="s">
        <v>22</v>
      </c>
    </row>
    <row r="128" spans="1:21" x14ac:dyDescent="0.25">
      <c r="A128" s="2" t="s">
        <v>165</v>
      </c>
      <c r="B128" s="1">
        <v>58</v>
      </c>
      <c r="C128" s="14">
        <f t="shared" si="6"/>
        <v>58</v>
      </c>
      <c r="D128" s="1" t="s">
        <v>28</v>
      </c>
      <c r="E128" s="1" t="s">
        <v>51</v>
      </c>
      <c r="F128" s="1" t="s">
        <v>35</v>
      </c>
      <c r="G128" s="1" t="str">
        <f t="shared" si="7"/>
        <v>Manager</v>
      </c>
      <c r="H128" s="1">
        <v>64176</v>
      </c>
      <c r="I128" s="1">
        <f t="shared" si="8"/>
        <v>64176</v>
      </c>
      <c r="J128" s="1">
        <v>5</v>
      </c>
      <c r="K128" s="14">
        <f t="shared" si="9"/>
        <v>5</v>
      </c>
      <c r="L128" s="1">
        <v>3</v>
      </c>
      <c r="M128" s="1">
        <f t="shared" si="10"/>
        <v>3</v>
      </c>
      <c r="N128" s="1"/>
      <c r="O128" s="1">
        <f t="shared" si="11"/>
        <v>3</v>
      </c>
      <c r="P128" s="1" t="s">
        <v>20</v>
      </c>
      <c r="Q128" s="1">
        <v>15</v>
      </c>
      <c r="R128" s="1" t="s">
        <v>19</v>
      </c>
      <c r="S128" s="1" t="s">
        <v>21</v>
      </c>
      <c r="T128" s="1">
        <v>13</v>
      </c>
      <c r="U128" s="3" t="s">
        <v>42</v>
      </c>
    </row>
    <row r="129" spans="1:21" x14ac:dyDescent="0.25">
      <c r="A129" s="2" t="s">
        <v>166</v>
      </c>
      <c r="B129" s="1">
        <v>23</v>
      </c>
      <c r="C129" s="14">
        <f t="shared" si="6"/>
        <v>23</v>
      </c>
      <c r="D129" s="1" t="s">
        <v>28</v>
      </c>
      <c r="E129" s="1" t="s">
        <v>51</v>
      </c>
      <c r="F129" s="1" t="s">
        <v>35</v>
      </c>
      <c r="G129" s="1" t="str">
        <f t="shared" si="7"/>
        <v>Manager</v>
      </c>
      <c r="H129" s="1">
        <v>44144</v>
      </c>
      <c r="I129" s="1">
        <f t="shared" si="8"/>
        <v>44144</v>
      </c>
      <c r="J129" s="1">
        <v>1</v>
      </c>
      <c r="K129" s="14">
        <f t="shared" si="9"/>
        <v>1</v>
      </c>
      <c r="L129" s="1">
        <v>3</v>
      </c>
      <c r="M129" s="1">
        <f t="shared" si="10"/>
        <v>3</v>
      </c>
      <c r="N129" s="1">
        <v>3</v>
      </c>
      <c r="O129" s="1">
        <f t="shared" si="11"/>
        <v>3</v>
      </c>
      <c r="P129" s="1" t="s">
        <v>20</v>
      </c>
      <c r="Q129" s="1">
        <v>17</v>
      </c>
      <c r="R129" s="1" t="s">
        <v>20</v>
      </c>
      <c r="S129" s="1" t="s">
        <v>30</v>
      </c>
      <c r="T129" s="1">
        <v>9</v>
      </c>
      <c r="U129" s="3" t="s">
        <v>44</v>
      </c>
    </row>
    <row r="130" spans="1:21" x14ac:dyDescent="0.25">
      <c r="A130" s="2" t="s">
        <v>167</v>
      </c>
      <c r="B130" s="1">
        <v>39</v>
      </c>
      <c r="C130" s="14">
        <f t="shared" ref="C130:C193" si="12">IF(B130="",39,B130)</f>
        <v>39</v>
      </c>
      <c r="D130" s="1" t="s">
        <v>28</v>
      </c>
      <c r="E130" s="1" t="s">
        <v>40</v>
      </c>
      <c r="F130" s="1" t="s">
        <v>38</v>
      </c>
      <c r="G130" s="1" t="str">
        <f t="shared" ref="G130:G193" si="13">PROPER(F130)</f>
        <v>Lead</v>
      </c>
      <c r="H130" s="1">
        <v>61506</v>
      </c>
      <c r="I130" s="1">
        <f t="shared" ref="I130:I193" si="14">IF(H130="",68925,H130)</f>
        <v>61506</v>
      </c>
      <c r="J130" s="1">
        <v>3</v>
      </c>
      <c r="K130" s="14">
        <f t="shared" ref="K130:K193" si="15">IF(J130="",3,J130)</f>
        <v>3</v>
      </c>
      <c r="L130" s="1">
        <v>1</v>
      </c>
      <c r="M130" s="1">
        <f t="shared" ref="M130:M193" si="16">IF(L130="",3,L130)</f>
        <v>1</v>
      </c>
      <c r="N130" s="1">
        <v>3</v>
      </c>
      <c r="O130" s="1">
        <f t="shared" ref="O130:O193" si="17">IF(N130="",3,N130)</f>
        <v>3</v>
      </c>
      <c r="P130" s="1" t="s">
        <v>20</v>
      </c>
      <c r="Q130" s="1">
        <v>12</v>
      </c>
      <c r="R130" s="1" t="s">
        <v>20</v>
      </c>
      <c r="S130" s="1" t="s">
        <v>30</v>
      </c>
      <c r="T130" s="1">
        <v>48</v>
      </c>
      <c r="U130" s="3" t="s">
        <v>44</v>
      </c>
    </row>
    <row r="131" spans="1:21" x14ac:dyDescent="0.25">
      <c r="A131" s="2" t="s">
        <v>168</v>
      </c>
      <c r="B131" s="1">
        <v>52</v>
      </c>
      <c r="C131" s="14">
        <f t="shared" si="12"/>
        <v>52</v>
      </c>
      <c r="D131" s="1" t="s">
        <v>28</v>
      </c>
      <c r="E131" s="1" t="s">
        <v>29</v>
      </c>
      <c r="F131" s="1" t="s">
        <v>25</v>
      </c>
      <c r="G131" s="1" t="str">
        <f t="shared" si="13"/>
        <v>Associate</v>
      </c>
      <c r="H131" s="1">
        <v>52959</v>
      </c>
      <c r="I131" s="1">
        <f t="shared" si="14"/>
        <v>52959</v>
      </c>
      <c r="J131" s="1">
        <v>1</v>
      </c>
      <c r="K131" s="14">
        <f t="shared" si="15"/>
        <v>1</v>
      </c>
      <c r="L131" s="1">
        <v>4</v>
      </c>
      <c r="M131" s="1">
        <f t="shared" si="16"/>
        <v>4</v>
      </c>
      <c r="N131" s="1">
        <v>1</v>
      </c>
      <c r="O131" s="1">
        <f t="shared" si="17"/>
        <v>1</v>
      </c>
      <c r="P131" s="1" t="s">
        <v>20</v>
      </c>
      <c r="Q131" s="1">
        <v>19</v>
      </c>
      <c r="R131" s="1" t="s">
        <v>19</v>
      </c>
      <c r="S131" s="1" t="s">
        <v>26</v>
      </c>
      <c r="T131" s="1">
        <v>42</v>
      </c>
      <c r="U131" s="3" t="s">
        <v>36</v>
      </c>
    </row>
    <row r="132" spans="1:21" x14ac:dyDescent="0.25">
      <c r="A132" s="2" t="s">
        <v>169</v>
      </c>
      <c r="B132" s="1">
        <v>27</v>
      </c>
      <c r="C132" s="14">
        <f t="shared" si="12"/>
        <v>27</v>
      </c>
      <c r="D132" s="1" t="s">
        <v>16</v>
      </c>
      <c r="E132" s="1" t="s">
        <v>29</v>
      </c>
      <c r="F132" s="1" t="s">
        <v>38</v>
      </c>
      <c r="G132" s="1" t="str">
        <f t="shared" si="13"/>
        <v>Lead</v>
      </c>
      <c r="H132" s="1">
        <v>56750</v>
      </c>
      <c r="I132" s="1">
        <f t="shared" si="14"/>
        <v>56750</v>
      </c>
      <c r="J132" s="1">
        <v>3</v>
      </c>
      <c r="K132" s="14">
        <f t="shared" si="15"/>
        <v>3</v>
      </c>
      <c r="L132" s="1">
        <v>4</v>
      </c>
      <c r="M132" s="1">
        <f t="shared" si="16"/>
        <v>4</v>
      </c>
      <c r="N132" s="1">
        <v>5</v>
      </c>
      <c r="O132" s="1">
        <f t="shared" si="17"/>
        <v>5</v>
      </c>
      <c r="P132" s="1" t="s">
        <v>20</v>
      </c>
      <c r="Q132" s="1">
        <v>5</v>
      </c>
      <c r="R132" s="1" t="s">
        <v>20</v>
      </c>
      <c r="S132" s="1" t="s">
        <v>30</v>
      </c>
      <c r="T132" s="1">
        <v>62</v>
      </c>
      <c r="U132" s="3" t="s">
        <v>22</v>
      </c>
    </row>
    <row r="133" spans="1:21" x14ac:dyDescent="0.25">
      <c r="A133" s="2" t="s">
        <v>170</v>
      </c>
      <c r="B133" s="1">
        <v>43</v>
      </c>
      <c r="C133" s="14">
        <f t="shared" si="12"/>
        <v>43</v>
      </c>
      <c r="D133" s="1" t="s">
        <v>28</v>
      </c>
      <c r="E133" s="1" t="s">
        <v>29</v>
      </c>
      <c r="F133" s="1" t="s">
        <v>38</v>
      </c>
      <c r="G133" s="1" t="str">
        <f t="shared" si="13"/>
        <v>Lead</v>
      </c>
      <c r="H133" s="1">
        <v>25518</v>
      </c>
      <c r="I133" s="1">
        <f t="shared" si="14"/>
        <v>25518</v>
      </c>
      <c r="J133" s="1">
        <v>1</v>
      </c>
      <c r="K133" s="14">
        <f t="shared" si="15"/>
        <v>1</v>
      </c>
      <c r="L133" s="1">
        <v>4</v>
      </c>
      <c r="M133" s="1">
        <f t="shared" si="16"/>
        <v>4</v>
      </c>
      <c r="N133" s="1">
        <v>3</v>
      </c>
      <c r="O133" s="1">
        <f t="shared" si="17"/>
        <v>3</v>
      </c>
      <c r="P133" s="1" t="s">
        <v>19</v>
      </c>
      <c r="Q133" s="1">
        <v>0</v>
      </c>
      <c r="R133" s="1" t="s">
        <v>19</v>
      </c>
      <c r="S133" s="1" t="s">
        <v>26</v>
      </c>
      <c r="T133" s="1">
        <v>61</v>
      </c>
      <c r="U133" s="3" t="s">
        <v>22</v>
      </c>
    </row>
    <row r="134" spans="1:21" x14ac:dyDescent="0.25">
      <c r="A134" s="2" t="s">
        <v>171</v>
      </c>
      <c r="B134" s="1">
        <v>29</v>
      </c>
      <c r="C134" s="14">
        <f t="shared" si="12"/>
        <v>29</v>
      </c>
      <c r="D134" s="1" t="s">
        <v>16</v>
      </c>
      <c r="E134" s="1" t="s">
        <v>51</v>
      </c>
      <c r="F134" s="1" t="s">
        <v>38</v>
      </c>
      <c r="G134" s="1" t="str">
        <f t="shared" si="13"/>
        <v>Lead</v>
      </c>
      <c r="H134" s="1">
        <v>66015</v>
      </c>
      <c r="I134" s="1">
        <f t="shared" si="14"/>
        <v>66015</v>
      </c>
      <c r="J134" s="1">
        <v>3</v>
      </c>
      <c r="K134" s="14">
        <f t="shared" si="15"/>
        <v>3</v>
      </c>
      <c r="L134" s="1">
        <v>4</v>
      </c>
      <c r="M134" s="1">
        <f t="shared" si="16"/>
        <v>4</v>
      </c>
      <c r="N134" s="1">
        <v>5</v>
      </c>
      <c r="O134" s="1">
        <f t="shared" si="17"/>
        <v>5</v>
      </c>
      <c r="P134" s="1" t="s">
        <v>19</v>
      </c>
      <c r="Q134" s="1">
        <v>19</v>
      </c>
      <c r="R134" s="1" t="s">
        <v>19</v>
      </c>
      <c r="S134" s="1" t="s">
        <v>26</v>
      </c>
      <c r="T134" s="1">
        <v>62</v>
      </c>
      <c r="U134" s="3" t="s">
        <v>36</v>
      </c>
    </row>
    <row r="135" spans="1:21" x14ac:dyDescent="0.25">
      <c r="A135" s="2" t="s">
        <v>172</v>
      </c>
      <c r="B135" s="1">
        <v>44</v>
      </c>
      <c r="C135" s="14">
        <f t="shared" si="12"/>
        <v>44</v>
      </c>
      <c r="D135" s="1" t="s">
        <v>28</v>
      </c>
      <c r="E135" s="1" t="s">
        <v>40</v>
      </c>
      <c r="F135" s="1" t="s">
        <v>25</v>
      </c>
      <c r="G135" s="1" t="str">
        <f t="shared" si="13"/>
        <v>Associate</v>
      </c>
      <c r="H135" s="1">
        <v>36047</v>
      </c>
      <c r="I135" s="1">
        <f t="shared" si="14"/>
        <v>36047</v>
      </c>
      <c r="J135" s="1">
        <v>5</v>
      </c>
      <c r="K135" s="14">
        <f t="shared" si="15"/>
        <v>5</v>
      </c>
      <c r="L135" s="1">
        <v>3</v>
      </c>
      <c r="M135" s="1">
        <f t="shared" si="16"/>
        <v>3</v>
      </c>
      <c r="N135" s="1">
        <v>4</v>
      </c>
      <c r="O135" s="1">
        <f t="shared" si="17"/>
        <v>4</v>
      </c>
      <c r="P135" s="1" t="s">
        <v>20</v>
      </c>
      <c r="Q135" s="1">
        <v>20</v>
      </c>
      <c r="R135" s="1" t="s">
        <v>20</v>
      </c>
      <c r="S135" s="1" t="s">
        <v>21</v>
      </c>
      <c r="T135" s="1">
        <v>19</v>
      </c>
      <c r="U135" s="3" t="s">
        <v>22</v>
      </c>
    </row>
    <row r="136" spans="1:21" x14ac:dyDescent="0.25">
      <c r="A136" s="2" t="s">
        <v>173</v>
      </c>
      <c r="B136" s="1">
        <v>32</v>
      </c>
      <c r="C136" s="14">
        <f t="shared" si="12"/>
        <v>32</v>
      </c>
      <c r="D136" s="1" t="s">
        <v>28</v>
      </c>
      <c r="E136" s="1" t="s">
        <v>24</v>
      </c>
      <c r="F136" s="1" t="s">
        <v>33</v>
      </c>
      <c r="G136" s="1" t="str">
        <f t="shared" si="13"/>
        <v>Engineer</v>
      </c>
      <c r="H136" s="1">
        <v>91619</v>
      </c>
      <c r="I136" s="1">
        <f t="shared" si="14"/>
        <v>91619</v>
      </c>
      <c r="J136" s="1">
        <v>1</v>
      </c>
      <c r="K136" s="14">
        <f t="shared" si="15"/>
        <v>1</v>
      </c>
      <c r="L136" s="1">
        <v>3</v>
      </c>
      <c r="M136" s="1">
        <f t="shared" si="16"/>
        <v>3</v>
      </c>
      <c r="N136" s="1">
        <v>3</v>
      </c>
      <c r="O136" s="1">
        <f t="shared" si="17"/>
        <v>3</v>
      </c>
      <c r="P136" s="1" t="s">
        <v>20</v>
      </c>
      <c r="Q136" s="1">
        <v>6</v>
      </c>
      <c r="R136" s="1" t="s">
        <v>20</v>
      </c>
      <c r="S136" s="1" t="s">
        <v>26</v>
      </c>
      <c r="T136" s="1">
        <v>67</v>
      </c>
      <c r="U136" s="3" t="s">
        <v>44</v>
      </c>
    </row>
    <row r="137" spans="1:21" x14ac:dyDescent="0.25">
      <c r="A137" s="2" t="s">
        <v>174</v>
      </c>
      <c r="B137" s="1">
        <v>28</v>
      </c>
      <c r="C137" s="14">
        <f t="shared" si="12"/>
        <v>28</v>
      </c>
      <c r="D137" s="1" t="s">
        <v>16</v>
      </c>
      <c r="E137" s="1" t="s">
        <v>40</v>
      </c>
      <c r="F137" s="1" t="s">
        <v>33</v>
      </c>
      <c r="G137" s="1" t="str">
        <f t="shared" si="13"/>
        <v>Engineer</v>
      </c>
      <c r="H137" s="1">
        <v>40630</v>
      </c>
      <c r="I137" s="1">
        <f t="shared" si="14"/>
        <v>40630</v>
      </c>
      <c r="J137" s="1">
        <v>4</v>
      </c>
      <c r="K137" s="14">
        <f t="shared" si="15"/>
        <v>4</v>
      </c>
      <c r="L137" s="1">
        <v>1</v>
      </c>
      <c r="M137" s="1">
        <f t="shared" si="16"/>
        <v>1</v>
      </c>
      <c r="N137" s="1">
        <v>3</v>
      </c>
      <c r="O137" s="1">
        <f t="shared" si="17"/>
        <v>3</v>
      </c>
      <c r="P137" s="1" t="s">
        <v>20</v>
      </c>
      <c r="Q137" s="1">
        <v>2</v>
      </c>
      <c r="R137" s="1" t="s">
        <v>20</v>
      </c>
      <c r="S137" s="1" t="s">
        <v>30</v>
      </c>
      <c r="T137" s="1">
        <v>25</v>
      </c>
      <c r="U137" s="3" t="s">
        <v>44</v>
      </c>
    </row>
    <row r="138" spans="1:21" x14ac:dyDescent="0.25">
      <c r="A138" s="2" t="s">
        <v>175</v>
      </c>
      <c r="B138" s="1">
        <v>44</v>
      </c>
      <c r="C138" s="14">
        <f t="shared" si="12"/>
        <v>44</v>
      </c>
      <c r="D138" s="1" t="s">
        <v>16</v>
      </c>
      <c r="E138" s="1" t="s">
        <v>40</v>
      </c>
      <c r="F138" s="1" t="s">
        <v>41</v>
      </c>
      <c r="G138" s="1" t="str">
        <f t="shared" si="13"/>
        <v>Executive</v>
      </c>
      <c r="H138" s="1">
        <v>36202</v>
      </c>
      <c r="I138" s="1">
        <f t="shared" si="14"/>
        <v>36202</v>
      </c>
      <c r="J138" s="1">
        <v>2</v>
      </c>
      <c r="K138" s="14">
        <f t="shared" si="15"/>
        <v>2</v>
      </c>
      <c r="L138" s="1">
        <v>4</v>
      </c>
      <c r="M138" s="1">
        <f t="shared" si="16"/>
        <v>4</v>
      </c>
      <c r="N138" s="1">
        <v>1</v>
      </c>
      <c r="O138" s="1">
        <f t="shared" si="17"/>
        <v>1</v>
      </c>
      <c r="P138" s="1" t="s">
        <v>20</v>
      </c>
      <c r="Q138" s="1">
        <v>17</v>
      </c>
      <c r="R138" s="1" t="s">
        <v>20</v>
      </c>
      <c r="S138" s="1" t="s">
        <v>30</v>
      </c>
      <c r="T138" s="1">
        <v>75</v>
      </c>
      <c r="U138" s="3" t="s">
        <v>44</v>
      </c>
    </row>
    <row r="139" spans="1:21" x14ac:dyDescent="0.25">
      <c r="A139" s="2" t="s">
        <v>176</v>
      </c>
      <c r="B139" s="1">
        <v>26</v>
      </c>
      <c r="C139" s="14">
        <f t="shared" si="12"/>
        <v>26</v>
      </c>
      <c r="D139" s="1" t="s">
        <v>16</v>
      </c>
      <c r="E139" s="1" t="s">
        <v>29</v>
      </c>
      <c r="F139" s="1" t="s">
        <v>33</v>
      </c>
      <c r="G139" s="1" t="str">
        <f t="shared" si="13"/>
        <v>Engineer</v>
      </c>
      <c r="H139" s="1">
        <v>111969</v>
      </c>
      <c r="I139" s="1">
        <f t="shared" si="14"/>
        <v>111969</v>
      </c>
      <c r="J139" s="1">
        <v>4</v>
      </c>
      <c r="K139" s="14">
        <f t="shared" si="15"/>
        <v>4</v>
      </c>
      <c r="L139" s="1">
        <v>5</v>
      </c>
      <c r="M139" s="1">
        <f t="shared" si="16"/>
        <v>5</v>
      </c>
      <c r="N139" s="1">
        <v>4</v>
      </c>
      <c r="O139" s="1">
        <f t="shared" si="17"/>
        <v>4</v>
      </c>
      <c r="P139" s="1" t="s">
        <v>20</v>
      </c>
      <c r="Q139" s="1">
        <v>18</v>
      </c>
      <c r="R139" s="1" t="s">
        <v>19</v>
      </c>
      <c r="S139" s="1" t="s">
        <v>21</v>
      </c>
      <c r="T139" s="1">
        <v>45</v>
      </c>
      <c r="U139" s="3" t="s">
        <v>22</v>
      </c>
    </row>
    <row r="140" spans="1:21" x14ac:dyDescent="0.25">
      <c r="A140" s="2" t="s">
        <v>177</v>
      </c>
      <c r="B140" s="1">
        <v>49</v>
      </c>
      <c r="C140" s="14">
        <f t="shared" si="12"/>
        <v>49</v>
      </c>
      <c r="D140" s="1" t="s">
        <v>28</v>
      </c>
      <c r="E140" s="1" t="s">
        <v>17</v>
      </c>
      <c r="F140" s="1" t="s">
        <v>25</v>
      </c>
      <c r="G140" s="1" t="str">
        <f t="shared" si="13"/>
        <v>Associate</v>
      </c>
      <c r="H140" s="1"/>
      <c r="I140" s="1">
        <f t="shared" si="14"/>
        <v>68925</v>
      </c>
      <c r="J140" s="1">
        <v>2</v>
      </c>
      <c r="K140" s="14">
        <f t="shared" si="15"/>
        <v>2</v>
      </c>
      <c r="L140" s="1">
        <v>5</v>
      </c>
      <c r="M140" s="1">
        <f t="shared" si="16"/>
        <v>5</v>
      </c>
      <c r="N140" s="1">
        <v>5</v>
      </c>
      <c r="O140" s="1">
        <f t="shared" si="17"/>
        <v>5</v>
      </c>
      <c r="P140" s="1" t="s">
        <v>19</v>
      </c>
      <c r="Q140" s="1">
        <v>4</v>
      </c>
      <c r="R140" s="1" t="s">
        <v>20</v>
      </c>
      <c r="S140" s="1" t="s">
        <v>26</v>
      </c>
      <c r="T140" s="1">
        <v>12</v>
      </c>
      <c r="U140" s="3" t="s">
        <v>22</v>
      </c>
    </row>
    <row r="141" spans="1:21" x14ac:dyDescent="0.25">
      <c r="A141" s="2" t="s">
        <v>178</v>
      </c>
      <c r="B141" s="1">
        <v>54</v>
      </c>
      <c r="C141" s="14">
        <f t="shared" si="12"/>
        <v>54</v>
      </c>
      <c r="D141" s="1" t="s">
        <v>16</v>
      </c>
      <c r="E141" s="1" t="s">
        <v>29</v>
      </c>
      <c r="F141" s="1" t="s">
        <v>41</v>
      </c>
      <c r="G141" s="1" t="str">
        <f t="shared" si="13"/>
        <v>Executive</v>
      </c>
      <c r="H141" s="1">
        <v>39229</v>
      </c>
      <c r="I141" s="1">
        <f t="shared" si="14"/>
        <v>39229</v>
      </c>
      <c r="J141" s="1">
        <v>3</v>
      </c>
      <c r="K141" s="14">
        <f t="shared" si="15"/>
        <v>3</v>
      </c>
      <c r="L141" s="1">
        <v>2</v>
      </c>
      <c r="M141" s="1">
        <f t="shared" si="16"/>
        <v>2</v>
      </c>
      <c r="N141" s="1">
        <v>3</v>
      </c>
      <c r="O141" s="1">
        <f t="shared" si="17"/>
        <v>3</v>
      </c>
      <c r="P141" s="1" t="s">
        <v>20</v>
      </c>
      <c r="Q141" s="1">
        <v>2</v>
      </c>
      <c r="R141" s="1" t="s">
        <v>20</v>
      </c>
      <c r="S141" s="1" t="s">
        <v>21</v>
      </c>
      <c r="T141" s="1">
        <v>75</v>
      </c>
      <c r="U141" s="3" t="s">
        <v>36</v>
      </c>
    </row>
    <row r="142" spans="1:21" x14ac:dyDescent="0.25">
      <c r="A142" s="2" t="s">
        <v>179</v>
      </c>
      <c r="B142" s="1">
        <v>29</v>
      </c>
      <c r="C142" s="14">
        <f t="shared" si="12"/>
        <v>29</v>
      </c>
      <c r="D142" s="1" t="s">
        <v>28</v>
      </c>
      <c r="E142" s="1" t="s">
        <v>24</v>
      </c>
      <c r="F142" s="1" t="s">
        <v>25</v>
      </c>
      <c r="G142" s="1" t="str">
        <f t="shared" si="13"/>
        <v>Associate</v>
      </c>
      <c r="H142" s="1">
        <v>30245</v>
      </c>
      <c r="I142" s="1">
        <f t="shared" si="14"/>
        <v>30245</v>
      </c>
      <c r="J142" s="1">
        <v>5</v>
      </c>
      <c r="K142" s="14">
        <f t="shared" si="15"/>
        <v>5</v>
      </c>
      <c r="L142" s="1">
        <v>2</v>
      </c>
      <c r="M142" s="1">
        <f t="shared" si="16"/>
        <v>2</v>
      </c>
      <c r="N142" s="1">
        <v>5</v>
      </c>
      <c r="O142" s="1">
        <f t="shared" si="17"/>
        <v>5</v>
      </c>
      <c r="P142" s="1" t="s">
        <v>19</v>
      </c>
      <c r="Q142" s="1">
        <v>5</v>
      </c>
      <c r="R142" s="1" t="s">
        <v>20</v>
      </c>
      <c r="S142" s="1" t="s">
        <v>26</v>
      </c>
      <c r="T142" s="1">
        <v>10</v>
      </c>
      <c r="U142" s="3" t="s">
        <v>22</v>
      </c>
    </row>
    <row r="143" spans="1:21" x14ac:dyDescent="0.25">
      <c r="A143" s="2" t="s">
        <v>180</v>
      </c>
      <c r="B143" s="1">
        <v>26</v>
      </c>
      <c r="C143" s="14">
        <f t="shared" si="12"/>
        <v>26</v>
      </c>
      <c r="D143" s="1" t="s">
        <v>16</v>
      </c>
      <c r="E143" s="1" t="s">
        <v>17</v>
      </c>
      <c r="F143" s="1" t="s">
        <v>25</v>
      </c>
      <c r="G143" s="1" t="str">
        <f t="shared" si="13"/>
        <v>Associate</v>
      </c>
      <c r="H143" s="1">
        <v>52688</v>
      </c>
      <c r="I143" s="1">
        <f t="shared" si="14"/>
        <v>52688</v>
      </c>
      <c r="J143" s="1">
        <v>2</v>
      </c>
      <c r="K143" s="14">
        <f t="shared" si="15"/>
        <v>2</v>
      </c>
      <c r="L143" s="1">
        <v>5</v>
      </c>
      <c r="M143" s="1">
        <f t="shared" si="16"/>
        <v>5</v>
      </c>
      <c r="N143" s="1">
        <v>4</v>
      </c>
      <c r="O143" s="1">
        <f t="shared" si="17"/>
        <v>4</v>
      </c>
      <c r="P143" s="1" t="s">
        <v>19</v>
      </c>
      <c r="Q143" s="1">
        <v>15</v>
      </c>
      <c r="R143" s="1" t="s">
        <v>20</v>
      </c>
      <c r="S143" s="1" t="s">
        <v>26</v>
      </c>
      <c r="T143" s="1">
        <v>43</v>
      </c>
      <c r="U143" s="3" t="s">
        <v>42</v>
      </c>
    </row>
    <row r="144" spans="1:21" x14ac:dyDescent="0.25">
      <c r="A144" s="2" t="s">
        <v>181</v>
      </c>
      <c r="B144" s="1">
        <v>36</v>
      </c>
      <c r="C144" s="14">
        <f t="shared" si="12"/>
        <v>36</v>
      </c>
      <c r="D144" s="1" t="s">
        <v>28</v>
      </c>
      <c r="E144" s="1" t="s">
        <v>29</v>
      </c>
      <c r="F144" s="1" t="s">
        <v>33</v>
      </c>
      <c r="G144" s="1" t="str">
        <f t="shared" si="13"/>
        <v>Engineer</v>
      </c>
      <c r="H144" s="1">
        <v>27564</v>
      </c>
      <c r="I144" s="1">
        <f t="shared" si="14"/>
        <v>27564</v>
      </c>
      <c r="J144" s="1">
        <v>1</v>
      </c>
      <c r="K144" s="14">
        <f t="shared" si="15"/>
        <v>1</v>
      </c>
      <c r="L144" s="1">
        <v>2</v>
      </c>
      <c r="M144" s="1">
        <f t="shared" si="16"/>
        <v>2</v>
      </c>
      <c r="N144" s="1"/>
      <c r="O144" s="1">
        <f t="shared" si="17"/>
        <v>3</v>
      </c>
      <c r="P144" s="1" t="s">
        <v>20</v>
      </c>
      <c r="Q144" s="1">
        <v>15</v>
      </c>
      <c r="R144" s="1" t="s">
        <v>20</v>
      </c>
      <c r="S144" s="1" t="s">
        <v>21</v>
      </c>
      <c r="T144" s="1">
        <v>48</v>
      </c>
      <c r="U144" s="3" t="s">
        <v>31</v>
      </c>
    </row>
    <row r="145" spans="1:21" x14ac:dyDescent="0.25">
      <c r="A145" s="2" t="s">
        <v>182</v>
      </c>
      <c r="B145" s="1">
        <v>30</v>
      </c>
      <c r="C145" s="14">
        <f t="shared" si="12"/>
        <v>30</v>
      </c>
      <c r="D145" s="1" t="s">
        <v>28</v>
      </c>
      <c r="E145" s="1" t="s">
        <v>17</v>
      </c>
      <c r="F145" s="1" t="s">
        <v>18</v>
      </c>
      <c r="G145" s="1" t="str">
        <f t="shared" si="13"/>
        <v>Analyst</v>
      </c>
      <c r="H145" s="1">
        <v>114233</v>
      </c>
      <c r="I145" s="1">
        <f t="shared" si="14"/>
        <v>114233</v>
      </c>
      <c r="J145" s="1"/>
      <c r="K145" s="14">
        <f t="shared" si="15"/>
        <v>3</v>
      </c>
      <c r="L145" s="1">
        <v>4</v>
      </c>
      <c r="M145" s="1">
        <f t="shared" si="16"/>
        <v>4</v>
      </c>
      <c r="N145" s="1">
        <v>2</v>
      </c>
      <c r="O145" s="1">
        <f t="shared" si="17"/>
        <v>2</v>
      </c>
      <c r="P145" s="1" t="s">
        <v>20</v>
      </c>
      <c r="Q145" s="1">
        <v>16</v>
      </c>
      <c r="R145" s="1" t="s">
        <v>19</v>
      </c>
      <c r="S145" s="1" t="s">
        <v>30</v>
      </c>
      <c r="T145" s="1">
        <v>35</v>
      </c>
      <c r="U145" s="3" t="s">
        <v>42</v>
      </c>
    </row>
    <row r="146" spans="1:21" x14ac:dyDescent="0.25">
      <c r="A146" s="2" t="s">
        <v>183</v>
      </c>
      <c r="B146" s="1">
        <v>28</v>
      </c>
      <c r="C146" s="14">
        <f t="shared" si="12"/>
        <v>28</v>
      </c>
      <c r="D146" s="1" t="s">
        <v>28</v>
      </c>
      <c r="E146" s="1" t="s">
        <v>49</v>
      </c>
      <c r="F146" s="1" t="s">
        <v>41</v>
      </c>
      <c r="G146" s="1" t="str">
        <f t="shared" si="13"/>
        <v>Executive</v>
      </c>
      <c r="H146" s="1">
        <v>36465</v>
      </c>
      <c r="I146" s="1">
        <f t="shared" si="14"/>
        <v>36465</v>
      </c>
      <c r="J146" s="1">
        <v>1</v>
      </c>
      <c r="K146" s="14">
        <f t="shared" si="15"/>
        <v>1</v>
      </c>
      <c r="L146" s="1">
        <v>1</v>
      </c>
      <c r="M146" s="1">
        <f t="shared" si="16"/>
        <v>1</v>
      </c>
      <c r="N146" s="1">
        <v>3</v>
      </c>
      <c r="O146" s="1">
        <f t="shared" si="17"/>
        <v>3</v>
      </c>
      <c r="P146" s="1" t="s">
        <v>20</v>
      </c>
      <c r="Q146" s="1">
        <v>19</v>
      </c>
      <c r="R146" s="1" t="s">
        <v>20</v>
      </c>
      <c r="S146" s="1" t="s">
        <v>21</v>
      </c>
      <c r="T146" s="1">
        <v>25</v>
      </c>
      <c r="U146" s="3" t="s">
        <v>36</v>
      </c>
    </row>
    <row r="147" spans="1:21" x14ac:dyDescent="0.25">
      <c r="A147" s="2" t="s">
        <v>184</v>
      </c>
      <c r="B147" s="1">
        <v>57</v>
      </c>
      <c r="C147" s="14">
        <f t="shared" si="12"/>
        <v>57</v>
      </c>
      <c r="D147" s="1" t="s">
        <v>28</v>
      </c>
      <c r="E147" s="1" t="s">
        <v>51</v>
      </c>
      <c r="F147" s="1" t="s">
        <v>41</v>
      </c>
      <c r="G147" s="1" t="str">
        <f t="shared" si="13"/>
        <v>Executive</v>
      </c>
      <c r="H147" s="1">
        <v>83308</v>
      </c>
      <c r="I147" s="1">
        <f t="shared" si="14"/>
        <v>83308</v>
      </c>
      <c r="J147" s="1">
        <v>5</v>
      </c>
      <c r="K147" s="14">
        <f t="shared" si="15"/>
        <v>5</v>
      </c>
      <c r="L147" s="1">
        <v>4</v>
      </c>
      <c r="M147" s="1">
        <f t="shared" si="16"/>
        <v>4</v>
      </c>
      <c r="N147" s="1">
        <v>4</v>
      </c>
      <c r="O147" s="1">
        <f t="shared" si="17"/>
        <v>4</v>
      </c>
      <c r="P147" s="1" t="s">
        <v>20</v>
      </c>
      <c r="Q147" s="1">
        <v>15</v>
      </c>
      <c r="R147" s="1" t="s">
        <v>19</v>
      </c>
      <c r="S147" s="1" t="s">
        <v>21</v>
      </c>
      <c r="T147" s="1">
        <v>55</v>
      </c>
      <c r="U147" s="3" t="s">
        <v>31</v>
      </c>
    </row>
    <row r="148" spans="1:21" x14ac:dyDescent="0.25">
      <c r="A148" s="2" t="s">
        <v>185</v>
      </c>
      <c r="B148" s="1">
        <v>50</v>
      </c>
      <c r="C148" s="14">
        <f t="shared" si="12"/>
        <v>50</v>
      </c>
      <c r="D148" s="1" t="s">
        <v>16</v>
      </c>
      <c r="E148" s="1" t="s">
        <v>51</v>
      </c>
      <c r="F148" s="1" t="s">
        <v>25</v>
      </c>
      <c r="G148" s="1" t="str">
        <f t="shared" si="13"/>
        <v>Associate</v>
      </c>
      <c r="H148" s="1">
        <v>64254</v>
      </c>
      <c r="I148" s="1">
        <f t="shared" si="14"/>
        <v>64254</v>
      </c>
      <c r="J148" s="1">
        <v>1</v>
      </c>
      <c r="K148" s="14">
        <f t="shared" si="15"/>
        <v>1</v>
      </c>
      <c r="L148" s="1">
        <v>1</v>
      </c>
      <c r="M148" s="1">
        <f t="shared" si="16"/>
        <v>1</v>
      </c>
      <c r="N148" s="1">
        <v>3</v>
      </c>
      <c r="O148" s="1">
        <f t="shared" si="17"/>
        <v>3</v>
      </c>
      <c r="P148" s="1" t="s">
        <v>20</v>
      </c>
      <c r="Q148" s="1">
        <v>19</v>
      </c>
      <c r="R148" s="1" t="s">
        <v>20</v>
      </c>
      <c r="S148" s="1" t="s">
        <v>30</v>
      </c>
      <c r="T148" s="1">
        <v>73</v>
      </c>
      <c r="U148" s="3" t="s">
        <v>22</v>
      </c>
    </row>
    <row r="149" spans="1:21" x14ac:dyDescent="0.25">
      <c r="A149" s="2" t="s">
        <v>186</v>
      </c>
      <c r="B149" s="1">
        <v>27</v>
      </c>
      <c r="C149" s="14">
        <f t="shared" si="12"/>
        <v>27</v>
      </c>
      <c r="D149" s="1" t="s">
        <v>28</v>
      </c>
      <c r="E149" s="1" t="s">
        <v>51</v>
      </c>
      <c r="F149" s="1" t="s">
        <v>18</v>
      </c>
      <c r="G149" s="1" t="str">
        <f t="shared" si="13"/>
        <v>Analyst</v>
      </c>
      <c r="H149" s="1">
        <v>113355</v>
      </c>
      <c r="I149" s="1">
        <f t="shared" si="14"/>
        <v>113355</v>
      </c>
      <c r="J149" s="1">
        <v>3</v>
      </c>
      <c r="K149" s="14">
        <f t="shared" si="15"/>
        <v>3</v>
      </c>
      <c r="L149" s="1">
        <v>4</v>
      </c>
      <c r="M149" s="1">
        <f t="shared" si="16"/>
        <v>4</v>
      </c>
      <c r="N149" s="1">
        <v>3</v>
      </c>
      <c r="O149" s="1">
        <f t="shared" si="17"/>
        <v>3</v>
      </c>
      <c r="P149" s="1" t="s">
        <v>19</v>
      </c>
      <c r="Q149" s="1">
        <v>12</v>
      </c>
      <c r="R149" s="1" t="s">
        <v>19</v>
      </c>
      <c r="S149" s="1" t="s">
        <v>26</v>
      </c>
      <c r="T149" s="1">
        <v>76</v>
      </c>
      <c r="U149" s="3" t="s">
        <v>44</v>
      </c>
    </row>
    <row r="150" spans="1:21" x14ac:dyDescent="0.25">
      <c r="A150" s="2" t="s">
        <v>187</v>
      </c>
      <c r="B150" s="1">
        <v>44</v>
      </c>
      <c r="C150" s="14">
        <f t="shared" si="12"/>
        <v>44</v>
      </c>
      <c r="D150" s="1" t="s">
        <v>28</v>
      </c>
      <c r="E150" s="1" t="s">
        <v>40</v>
      </c>
      <c r="F150" s="1" t="s">
        <v>33</v>
      </c>
      <c r="G150" s="1" t="str">
        <f t="shared" si="13"/>
        <v>Engineer</v>
      </c>
      <c r="H150" s="1">
        <v>84093</v>
      </c>
      <c r="I150" s="1">
        <f t="shared" si="14"/>
        <v>84093</v>
      </c>
      <c r="J150" s="1">
        <v>4</v>
      </c>
      <c r="K150" s="14">
        <f t="shared" si="15"/>
        <v>4</v>
      </c>
      <c r="L150" s="1">
        <v>5</v>
      </c>
      <c r="M150" s="1">
        <f t="shared" si="16"/>
        <v>5</v>
      </c>
      <c r="N150" s="1">
        <v>3</v>
      </c>
      <c r="O150" s="1">
        <f t="shared" si="17"/>
        <v>3</v>
      </c>
      <c r="P150" s="1" t="s">
        <v>19</v>
      </c>
      <c r="Q150" s="1">
        <v>4</v>
      </c>
      <c r="R150" s="1" t="s">
        <v>19</v>
      </c>
      <c r="S150" s="1" t="s">
        <v>30</v>
      </c>
      <c r="T150" s="1">
        <v>52</v>
      </c>
      <c r="U150" s="3" t="s">
        <v>36</v>
      </c>
    </row>
    <row r="151" spans="1:21" x14ac:dyDescent="0.25">
      <c r="A151" s="2" t="s">
        <v>188</v>
      </c>
      <c r="B151" s="1">
        <v>56</v>
      </c>
      <c r="C151" s="14">
        <f t="shared" si="12"/>
        <v>56</v>
      </c>
      <c r="D151" s="1" t="s">
        <v>28</v>
      </c>
      <c r="E151" s="1" t="s">
        <v>51</v>
      </c>
      <c r="F151" s="1" t="s">
        <v>41</v>
      </c>
      <c r="G151" s="1" t="str">
        <f t="shared" si="13"/>
        <v>Executive</v>
      </c>
      <c r="H151" s="1">
        <v>96966</v>
      </c>
      <c r="I151" s="1">
        <f t="shared" si="14"/>
        <v>96966</v>
      </c>
      <c r="J151" s="1">
        <v>5</v>
      </c>
      <c r="K151" s="14">
        <f t="shared" si="15"/>
        <v>5</v>
      </c>
      <c r="L151" s="1">
        <v>4</v>
      </c>
      <c r="M151" s="1">
        <f t="shared" si="16"/>
        <v>4</v>
      </c>
      <c r="N151" s="1">
        <v>5</v>
      </c>
      <c r="O151" s="1">
        <f t="shared" si="17"/>
        <v>5</v>
      </c>
      <c r="P151" s="1" t="s">
        <v>19</v>
      </c>
      <c r="Q151" s="1">
        <v>1</v>
      </c>
      <c r="R151" s="1" t="s">
        <v>19</v>
      </c>
      <c r="S151" s="1" t="s">
        <v>21</v>
      </c>
      <c r="T151" s="1">
        <v>47</v>
      </c>
      <c r="U151" s="3" t="s">
        <v>42</v>
      </c>
    </row>
    <row r="152" spans="1:21" x14ac:dyDescent="0.25">
      <c r="A152" s="2" t="s">
        <v>189</v>
      </c>
      <c r="B152" s="1">
        <v>54</v>
      </c>
      <c r="C152" s="14">
        <f t="shared" si="12"/>
        <v>54</v>
      </c>
      <c r="D152" s="1" t="s">
        <v>28</v>
      </c>
      <c r="E152" s="1" t="s">
        <v>51</v>
      </c>
      <c r="F152" s="1" t="s">
        <v>25</v>
      </c>
      <c r="G152" s="1" t="str">
        <f t="shared" si="13"/>
        <v>Associate</v>
      </c>
      <c r="H152" s="1">
        <v>85568</v>
      </c>
      <c r="I152" s="1">
        <f t="shared" si="14"/>
        <v>85568</v>
      </c>
      <c r="J152" s="1">
        <v>2</v>
      </c>
      <c r="K152" s="14">
        <f t="shared" si="15"/>
        <v>2</v>
      </c>
      <c r="L152" s="1">
        <v>3</v>
      </c>
      <c r="M152" s="1">
        <f t="shared" si="16"/>
        <v>3</v>
      </c>
      <c r="N152" s="1">
        <v>5</v>
      </c>
      <c r="O152" s="1">
        <f t="shared" si="17"/>
        <v>5</v>
      </c>
      <c r="P152" s="1" t="s">
        <v>20</v>
      </c>
      <c r="Q152" s="1">
        <v>5</v>
      </c>
      <c r="R152" s="1" t="s">
        <v>20</v>
      </c>
      <c r="S152" s="1" t="s">
        <v>26</v>
      </c>
      <c r="T152" s="1">
        <v>43</v>
      </c>
      <c r="U152" s="3" t="s">
        <v>31</v>
      </c>
    </row>
    <row r="153" spans="1:21" x14ac:dyDescent="0.25">
      <c r="A153" s="2" t="s">
        <v>190</v>
      </c>
      <c r="B153" s="1">
        <v>42</v>
      </c>
      <c r="C153" s="14">
        <f t="shared" si="12"/>
        <v>42</v>
      </c>
      <c r="D153" s="1" t="s">
        <v>28</v>
      </c>
      <c r="E153" s="1" t="s">
        <v>17</v>
      </c>
      <c r="F153" s="1" t="s">
        <v>25</v>
      </c>
      <c r="G153" s="1" t="str">
        <f t="shared" si="13"/>
        <v>Associate</v>
      </c>
      <c r="H153" s="1">
        <v>57294</v>
      </c>
      <c r="I153" s="1">
        <f t="shared" si="14"/>
        <v>57294</v>
      </c>
      <c r="J153" s="1"/>
      <c r="K153" s="14">
        <f t="shared" si="15"/>
        <v>3</v>
      </c>
      <c r="L153" s="1">
        <v>1</v>
      </c>
      <c r="M153" s="1">
        <f t="shared" si="16"/>
        <v>1</v>
      </c>
      <c r="N153" s="1">
        <v>3</v>
      </c>
      <c r="O153" s="1">
        <f t="shared" si="17"/>
        <v>3</v>
      </c>
      <c r="P153" s="1" t="s">
        <v>20</v>
      </c>
      <c r="Q153" s="1">
        <v>3</v>
      </c>
      <c r="R153" s="1" t="s">
        <v>20</v>
      </c>
      <c r="S153" s="1" t="s">
        <v>26</v>
      </c>
      <c r="T153" s="1">
        <v>44</v>
      </c>
      <c r="U153" s="3" t="s">
        <v>22</v>
      </c>
    </row>
    <row r="154" spans="1:21" x14ac:dyDescent="0.25">
      <c r="A154" s="2" t="s">
        <v>191</v>
      </c>
      <c r="B154" s="1">
        <v>51</v>
      </c>
      <c r="C154" s="14">
        <f t="shared" si="12"/>
        <v>51</v>
      </c>
      <c r="D154" s="1" t="s">
        <v>28</v>
      </c>
      <c r="E154" s="1" t="s">
        <v>17</v>
      </c>
      <c r="F154" s="1" t="s">
        <v>25</v>
      </c>
      <c r="G154" s="1" t="str">
        <f t="shared" si="13"/>
        <v>Associate</v>
      </c>
      <c r="H154" s="1">
        <v>93711</v>
      </c>
      <c r="I154" s="1">
        <f t="shared" si="14"/>
        <v>93711</v>
      </c>
      <c r="J154" s="1">
        <v>2</v>
      </c>
      <c r="K154" s="14">
        <f t="shared" si="15"/>
        <v>2</v>
      </c>
      <c r="L154" s="1">
        <v>1</v>
      </c>
      <c r="M154" s="1">
        <f t="shared" si="16"/>
        <v>1</v>
      </c>
      <c r="N154" s="1">
        <v>5</v>
      </c>
      <c r="O154" s="1">
        <f t="shared" si="17"/>
        <v>5</v>
      </c>
      <c r="P154" s="1" t="s">
        <v>20</v>
      </c>
      <c r="Q154" s="1">
        <v>5</v>
      </c>
      <c r="R154" s="1" t="s">
        <v>20</v>
      </c>
      <c r="S154" s="1" t="s">
        <v>21</v>
      </c>
      <c r="T154" s="1">
        <v>36</v>
      </c>
      <c r="U154" s="3" t="s">
        <v>22</v>
      </c>
    </row>
    <row r="155" spans="1:21" x14ac:dyDescent="0.25">
      <c r="A155" s="2" t="s">
        <v>192</v>
      </c>
      <c r="B155" s="1">
        <v>57</v>
      </c>
      <c r="C155" s="14">
        <f t="shared" si="12"/>
        <v>57</v>
      </c>
      <c r="D155" s="1" t="s">
        <v>16</v>
      </c>
      <c r="E155" s="1" t="s">
        <v>51</v>
      </c>
      <c r="F155" s="1" t="s">
        <v>35</v>
      </c>
      <c r="G155" s="1" t="str">
        <f t="shared" si="13"/>
        <v>Manager</v>
      </c>
      <c r="H155" s="1">
        <v>75807</v>
      </c>
      <c r="I155" s="1">
        <f t="shared" si="14"/>
        <v>75807</v>
      </c>
      <c r="J155" s="1">
        <v>3</v>
      </c>
      <c r="K155" s="14">
        <f t="shared" si="15"/>
        <v>3</v>
      </c>
      <c r="L155" s="1">
        <v>4</v>
      </c>
      <c r="M155" s="1">
        <f t="shared" si="16"/>
        <v>4</v>
      </c>
      <c r="N155" s="1">
        <v>2</v>
      </c>
      <c r="O155" s="1">
        <f t="shared" si="17"/>
        <v>2</v>
      </c>
      <c r="P155" s="1" t="s">
        <v>20</v>
      </c>
      <c r="Q155" s="1">
        <v>6</v>
      </c>
      <c r="R155" s="1" t="s">
        <v>20</v>
      </c>
      <c r="S155" s="1" t="s">
        <v>26</v>
      </c>
      <c r="T155" s="1">
        <v>65</v>
      </c>
      <c r="U155" s="3" t="s">
        <v>22</v>
      </c>
    </row>
    <row r="156" spans="1:21" x14ac:dyDescent="0.25">
      <c r="A156" s="2" t="s">
        <v>193</v>
      </c>
      <c r="B156" s="1">
        <v>29</v>
      </c>
      <c r="C156" s="14">
        <f t="shared" si="12"/>
        <v>29</v>
      </c>
      <c r="D156" s="1" t="s">
        <v>16</v>
      </c>
      <c r="E156" s="1" t="s">
        <v>24</v>
      </c>
      <c r="F156" s="1" t="s">
        <v>18</v>
      </c>
      <c r="G156" s="1" t="str">
        <f t="shared" si="13"/>
        <v>Analyst</v>
      </c>
      <c r="H156" s="1">
        <v>104799</v>
      </c>
      <c r="I156" s="1">
        <f t="shared" si="14"/>
        <v>104799</v>
      </c>
      <c r="J156" s="1">
        <v>4</v>
      </c>
      <c r="K156" s="14">
        <f t="shared" si="15"/>
        <v>4</v>
      </c>
      <c r="L156" s="1">
        <v>5</v>
      </c>
      <c r="M156" s="1">
        <f t="shared" si="16"/>
        <v>5</v>
      </c>
      <c r="N156" s="1">
        <v>4</v>
      </c>
      <c r="O156" s="1">
        <f t="shared" si="17"/>
        <v>4</v>
      </c>
      <c r="P156" s="1" t="s">
        <v>20</v>
      </c>
      <c r="Q156" s="1">
        <v>5</v>
      </c>
      <c r="R156" s="1" t="s">
        <v>20</v>
      </c>
      <c r="S156" s="1" t="s">
        <v>26</v>
      </c>
      <c r="T156" s="1">
        <v>48</v>
      </c>
      <c r="U156" s="3" t="s">
        <v>31</v>
      </c>
    </row>
    <row r="157" spans="1:21" x14ac:dyDescent="0.25">
      <c r="A157" s="2" t="s">
        <v>194</v>
      </c>
      <c r="B157" s="1">
        <v>43</v>
      </c>
      <c r="C157" s="14">
        <f t="shared" si="12"/>
        <v>43</v>
      </c>
      <c r="D157" s="1" t="s">
        <v>28</v>
      </c>
      <c r="E157" s="1" t="s">
        <v>24</v>
      </c>
      <c r="F157" s="1" t="s">
        <v>33</v>
      </c>
      <c r="G157" s="1" t="str">
        <f t="shared" si="13"/>
        <v>Engineer</v>
      </c>
      <c r="H157" s="1">
        <v>43200</v>
      </c>
      <c r="I157" s="1">
        <f t="shared" si="14"/>
        <v>43200</v>
      </c>
      <c r="J157" s="1">
        <v>2</v>
      </c>
      <c r="K157" s="14">
        <f t="shared" si="15"/>
        <v>2</v>
      </c>
      <c r="L157" s="1">
        <v>3</v>
      </c>
      <c r="M157" s="1">
        <f t="shared" si="16"/>
        <v>3</v>
      </c>
      <c r="N157" s="1">
        <v>5</v>
      </c>
      <c r="O157" s="1">
        <f t="shared" si="17"/>
        <v>5</v>
      </c>
      <c r="P157" s="1" t="s">
        <v>20</v>
      </c>
      <c r="Q157" s="1">
        <v>7</v>
      </c>
      <c r="R157" s="1" t="s">
        <v>20</v>
      </c>
      <c r="S157" s="1" t="s">
        <v>30</v>
      </c>
      <c r="T157" s="1">
        <v>31</v>
      </c>
      <c r="U157" s="3" t="s">
        <v>42</v>
      </c>
    </row>
    <row r="158" spans="1:21" x14ac:dyDescent="0.25">
      <c r="A158" s="2" t="s">
        <v>195</v>
      </c>
      <c r="B158" s="1">
        <v>41</v>
      </c>
      <c r="C158" s="14">
        <f t="shared" si="12"/>
        <v>41</v>
      </c>
      <c r="D158" s="1" t="s">
        <v>28</v>
      </c>
      <c r="E158" s="1" t="s">
        <v>29</v>
      </c>
      <c r="F158" s="1" t="s">
        <v>25</v>
      </c>
      <c r="G158" s="1" t="str">
        <f t="shared" si="13"/>
        <v>Associate</v>
      </c>
      <c r="H158" s="1">
        <v>112589</v>
      </c>
      <c r="I158" s="1">
        <f t="shared" si="14"/>
        <v>112589</v>
      </c>
      <c r="J158" s="1">
        <v>3</v>
      </c>
      <c r="K158" s="14">
        <f t="shared" si="15"/>
        <v>3</v>
      </c>
      <c r="L158" s="1">
        <v>3</v>
      </c>
      <c r="M158" s="1">
        <f t="shared" si="16"/>
        <v>3</v>
      </c>
      <c r="N158" s="1">
        <v>1</v>
      </c>
      <c r="O158" s="1">
        <f t="shared" si="17"/>
        <v>1</v>
      </c>
      <c r="P158" s="1" t="s">
        <v>20</v>
      </c>
      <c r="Q158" s="1">
        <v>12</v>
      </c>
      <c r="R158" s="1" t="s">
        <v>20</v>
      </c>
      <c r="S158" s="1" t="s">
        <v>21</v>
      </c>
      <c r="T158" s="1">
        <v>42</v>
      </c>
      <c r="U158" s="3" t="s">
        <v>22</v>
      </c>
    </row>
    <row r="159" spans="1:21" x14ac:dyDescent="0.25">
      <c r="A159" s="2" t="s">
        <v>196</v>
      </c>
      <c r="B159" s="1">
        <v>39</v>
      </c>
      <c r="C159" s="14">
        <f t="shared" si="12"/>
        <v>39</v>
      </c>
      <c r="D159" s="1" t="s">
        <v>16</v>
      </c>
      <c r="E159" s="1" t="s">
        <v>29</v>
      </c>
      <c r="F159" s="1" t="s">
        <v>33</v>
      </c>
      <c r="G159" s="1" t="str">
        <f t="shared" si="13"/>
        <v>Engineer</v>
      </c>
      <c r="H159" s="1">
        <v>103979</v>
      </c>
      <c r="I159" s="1">
        <f t="shared" si="14"/>
        <v>103979</v>
      </c>
      <c r="J159" s="1">
        <v>3</v>
      </c>
      <c r="K159" s="14">
        <f t="shared" si="15"/>
        <v>3</v>
      </c>
      <c r="L159" s="1">
        <v>4</v>
      </c>
      <c r="M159" s="1">
        <f t="shared" si="16"/>
        <v>4</v>
      </c>
      <c r="N159" s="1">
        <v>2</v>
      </c>
      <c r="O159" s="1">
        <f t="shared" si="17"/>
        <v>2</v>
      </c>
      <c r="P159" s="1" t="s">
        <v>19</v>
      </c>
      <c r="Q159" s="1">
        <v>17</v>
      </c>
      <c r="R159" s="1" t="s">
        <v>20</v>
      </c>
      <c r="S159" s="1" t="s">
        <v>26</v>
      </c>
      <c r="T159" s="1">
        <v>39</v>
      </c>
      <c r="U159" s="3" t="s">
        <v>44</v>
      </c>
    </row>
    <row r="160" spans="1:21" x14ac:dyDescent="0.25">
      <c r="A160" s="2" t="s">
        <v>197</v>
      </c>
      <c r="B160" s="1">
        <v>27</v>
      </c>
      <c r="C160" s="14">
        <f t="shared" si="12"/>
        <v>27</v>
      </c>
      <c r="D160" s="1" t="s">
        <v>16</v>
      </c>
      <c r="E160" s="1" t="s">
        <v>51</v>
      </c>
      <c r="F160" s="1" t="s">
        <v>35</v>
      </c>
      <c r="G160" s="1" t="str">
        <f t="shared" si="13"/>
        <v>Manager</v>
      </c>
      <c r="H160" s="1">
        <v>105796</v>
      </c>
      <c r="I160" s="1">
        <f t="shared" si="14"/>
        <v>105796</v>
      </c>
      <c r="J160" s="1">
        <v>5</v>
      </c>
      <c r="K160" s="14">
        <f t="shared" si="15"/>
        <v>5</v>
      </c>
      <c r="L160" s="1">
        <v>2</v>
      </c>
      <c r="M160" s="1">
        <f t="shared" si="16"/>
        <v>2</v>
      </c>
      <c r="N160" s="1">
        <v>2</v>
      </c>
      <c r="O160" s="1">
        <f t="shared" si="17"/>
        <v>2</v>
      </c>
      <c r="P160" s="1" t="s">
        <v>19</v>
      </c>
      <c r="Q160" s="1">
        <v>3</v>
      </c>
      <c r="R160" s="1" t="s">
        <v>20</v>
      </c>
      <c r="S160" s="1" t="s">
        <v>30</v>
      </c>
      <c r="T160" s="1">
        <v>65</v>
      </c>
      <c r="U160" s="3" t="s">
        <v>22</v>
      </c>
    </row>
    <row r="161" spans="1:21" x14ac:dyDescent="0.25">
      <c r="A161" s="2" t="s">
        <v>198</v>
      </c>
      <c r="B161" s="1">
        <v>29</v>
      </c>
      <c r="C161" s="14">
        <f t="shared" si="12"/>
        <v>29</v>
      </c>
      <c r="D161" s="1" t="s">
        <v>16</v>
      </c>
      <c r="E161" s="1" t="s">
        <v>24</v>
      </c>
      <c r="F161" s="1" t="s">
        <v>41</v>
      </c>
      <c r="G161" s="1" t="str">
        <f t="shared" si="13"/>
        <v>Executive</v>
      </c>
      <c r="H161" s="1">
        <v>71334</v>
      </c>
      <c r="I161" s="1">
        <f t="shared" si="14"/>
        <v>71334</v>
      </c>
      <c r="J161" s="1">
        <v>4</v>
      </c>
      <c r="K161" s="14">
        <f t="shared" si="15"/>
        <v>4</v>
      </c>
      <c r="L161" s="1">
        <v>4</v>
      </c>
      <c r="M161" s="1">
        <f t="shared" si="16"/>
        <v>4</v>
      </c>
      <c r="N161" s="1">
        <v>2</v>
      </c>
      <c r="O161" s="1">
        <f t="shared" si="17"/>
        <v>2</v>
      </c>
      <c r="P161" s="1" t="s">
        <v>20</v>
      </c>
      <c r="Q161" s="1">
        <v>10</v>
      </c>
      <c r="R161" s="1" t="s">
        <v>20</v>
      </c>
      <c r="S161" s="1" t="s">
        <v>26</v>
      </c>
      <c r="T161" s="1">
        <v>12</v>
      </c>
      <c r="U161" s="3" t="s">
        <v>22</v>
      </c>
    </row>
    <row r="162" spans="1:21" x14ac:dyDescent="0.25">
      <c r="A162" s="2" t="s">
        <v>199</v>
      </c>
      <c r="B162" s="1">
        <v>57</v>
      </c>
      <c r="C162" s="14">
        <f t="shared" si="12"/>
        <v>57</v>
      </c>
      <c r="D162" s="1" t="s">
        <v>16</v>
      </c>
      <c r="E162" s="1" t="s">
        <v>24</v>
      </c>
      <c r="F162" s="1" t="s">
        <v>38</v>
      </c>
      <c r="G162" s="1" t="str">
        <f t="shared" si="13"/>
        <v>Lead</v>
      </c>
      <c r="H162" s="1">
        <v>112780</v>
      </c>
      <c r="I162" s="1">
        <f t="shared" si="14"/>
        <v>112780</v>
      </c>
      <c r="J162" s="1">
        <v>1</v>
      </c>
      <c r="K162" s="14">
        <f t="shared" si="15"/>
        <v>1</v>
      </c>
      <c r="L162" s="1">
        <v>2</v>
      </c>
      <c r="M162" s="1">
        <f t="shared" si="16"/>
        <v>2</v>
      </c>
      <c r="N162" s="1">
        <v>4</v>
      </c>
      <c r="O162" s="1">
        <f t="shared" si="17"/>
        <v>4</v>
      </c>
      <c r="P162" s="1" t="s">
        <v>19</v>
      </c>
      <c r="Q162" s="1">
        <v>1</v>
      </c>
      <c r="R162" s="1" t="s">
        <v>20</v>
      </c>
      <c r="S162" s="1" t="s">
        <v>30</v>
      </c>
      <c r="T162" s="1">
        <v>28</v>
      </c>
      <c r="U162" s="3" t="s">
        <v>36</v>
      </c>
    </row>
    <row r="163" spans="1:21" x14ac:dyDescent="0.25">
      <c r="A163" s="2" t="s">
        <v>200</v>
      </c>
      <c r="B163" s="1">
        <v>23</v>
      </c>
      <c r="C163" s="14">
        <f t="shared" si="12"/>
        <v>23</v>
      </c>
      <c r="D163" s="1" t="s">
        <v>16</v>
      </c>
      <c r="E163" s="1" t="s">
        <v>29</v>
      </c>
      <c r="F163" s="1" t="s">
        <v>25</v>
      </c>
      <c r="G163" s="1" t="str">
        <f t="shared" si="13"/>
        <v>Associate</v>
      </c>
      <c r="H163" s="1">
        <v>97007</v>
      </c>
      <c r="I163" s="1">
        <f t="shared" si="14"/>
        <v>97007</v>
      </c>
      <c r="J163" s="1">
        <v>1</v>
      </c>
      <c r="K163" s="14">
        <f t="shared" si="15"/>
        <v>1</v>
      </c>
      <c r="L163" s="1">
        <v>3</v>
      </c>
      <c r="M163" s="1">
        <f t="shared" si="16"/>
        <v>3</v>
      </c>
      <c r="N163" s="1">
        <v>3</v>
      </c>
      <c r="O163" s="1">
        <f t="shared" si="17"/>
        <v>3</v>
      </c>
      <c r="P163" s="1" t="s">
        <v>20</v>
      </c>
      <c r="Q163" s="1">
        <v>20</v>
      </c>
      <c r="R163" s="1" t="s">
        <v>20</v>
      </c>
      <c r="S163" s="1" t="s">
        <v>21</v>
      </c>
      <c r="T163" s="1">
        <v>69</v>
      </c>
      <c r="U163" s="3" t="s">
        <v>42</v>
      </c>
    </row>
    <row r="164" spans="1:21" x14ac:dyDescent="0.25">
      <c r="A164" s="2" t="s">
        <v>201</v>
      </c>
      <c r="B164" s="1">
        <v>38</v>
      </c>
      <c r="C164" s="14">
        <f t="shared" si="12"/>
        <v>38</v>
      </c>
      <c r="D164" s="1" t="s">
        <v>16</v>
      </c>
      <c r="E164" s="1" t="s">
        <v>40</v>
      </c>
      <c r="F164" s="1" t="s">
        <v>18</v>
      </c>
      <c r="G164" s="1" t="str">
        <f t="shared" si="13"/>
        <v>Analyst</v>
      </c>
      <c r="H164" s="1">
        <v>39298</v>
      </c>
      <c r="I164" s="1">
        <f t="shared" si="14"/>
        <v>39298</v>
      </c>
      <c r="J164" s="1">
        <v>4</v>
      </c>
      <c r="K164" s="14">
        <f t="shared" si="15"/>
        <v>4</v>
      </c>
      <c r="L164" s="1">
        <v>3</v>
      </c>
      <c r="M164" s="1">
        <f t="shared" si="16"/>
        <v>3</v>
      </c>
      <c r="N164" s="1">
        <v>2</v>
      </c>
      <c r="O164" s="1">
        <f t="shared" si="17"/>
        <v>2</v>
      </c>
      <c r="P164" s="1" t="s">
        <v>19</v>
      </c>
      <c r="Q164" s="1">
        <v>10</v>
      </c>
      <c r="R164" s="1" t="s">
        <v>20</v>
      </c>
      <c r="S164" s="1" t="s">
        <v>26</v>
      </c>
      <c r="T164" s="1">
        <v>29</v>
      </c>
      <c r="U164" s="3" t="s">
        <v>44</v>
      </c>
    </row>
    <row r="165" spans="1:21" x14ac:dyDescent="0.25">
      <c r="A165" s="2" t="s">
        <v>202</v>
      </c>
      <c r="B165" s="1">
        <v>46</v>
      </c>
      <c r="C165" s="14">
        <f t="shared" si="12"/>
        <v>46</v>
      </c>
      <c r="D165" s="1" t="s">
        <v>28</v>
      </c>
      <c r="E165" s="1" t="s">
        <v>24</v>
      </c>
      <c r="F165" s="1" t="s">
        <v>18</v>
      </c>
      <c r="G165" s="1" t="str">
        <f t="shared" si="13"/>
        <v>Analyst</v>
      </c>
      <c r="H165" s="1">
        <v>29368</v>
      </c>
      <c r="I165" s="1">
        <f t="shared" si="14"/>
        <v>29368</v>
      </c>
      <c r="J165" s="1">
        <v>4</v>
      </c>
      <c r="K165" s="14">
        <f t="shared" si="15"/>
        <v>4</v>
      </c>
      <c r="L165" s="1">
        <v>1</v>
      </c>
      <c r="M165" s="1">
        <f t="shared" si="16"/>
        <v>1</v>
      </c>
      <c r="N165" s="1">
        <v>2</v>
      </c>
      <c r="O165" s="1">
        <f t="shared" si="17"/>
        <v>2</v>
      </c>
      <c r="P165" s="1" t="s">
        <v>19</v>
      </c>
      <c r="Q165" s="1">
        <v>15</v>
      </c>
      <c r="R165" s="1" t="s">
        <v>20</v>
      </c>
      <c r="S165" s="1" t="s">
        <v>21</v>
      </c>
      <c r="T165" s="1">
        <v>5</v>
      </c>
      <c r="U165" s="3" t="s">
        <v>36</v>
      </c>
    </row>
    <row r="166" spans="1:21" x14ac:dyDescent="0.25">
      <c r="A166" s="2" t="s">
        <v>203</v>
      </c>
      <c r="B166" s="1">
        <v>45</v>
      </c>
      <c r="C166" s="14">
        <f t="shared" si="12"/>
        <v>45</v>
      </c>
      <c r="D166" s="1" t="s">
        <v>16</v>
      </c>
      <c r="E166" s="1" t="s">
        <v>49</v>
      </c>
      <c r="F166" s="1" t="s">
        <v>18</v>
      </c>
      <c r="G166" s="1" t="str">
        <f t="shared" si="13"/>
        <v>Analyst</v>
      </c>
      <c r="H166" s="1">
        <v>61204</v>
      </c>
      <c r="I166" s="1">
        <f t="shared" si="14"/>
        <v>61204</v>
      </c>
      <c r="J166" s="1">
        <v>3</v>
      </c>
      <c r="K166" s="14">
        <f t="shared" si="15"/>
        <v>3</v>
      </c>
      <c r="L166" s="1">
        <v>5</v>
      </c>
      <c r="M166" s="1">
        <f t="shared" si="16"/>
        <v>5</v>
      </c>
      <c r="N166" s="1">
        <v>5</v>
      </c>
      <c r="O166" s="1">
        <f t="shared" si="17"/>
        <v>5</v>
      </c>
      <c r="P166" s="1" t="s">
        <v>19</v>
      </c>
      <c r="Q166" s="1">
        <v>8</v>
      </c>
      <c r="R166" s="1" t="s">
        <v>20</v>
      </c>
      <c r="S166" s="1" t="s">
        <v>26</v>
      </c>
      <c r="T166" s="1">
        <v>35</v>
      </c>
      <c r="U166" s="3" t="s">
        <v>22</v>
      </c>
    </row>
    <row r="167" spans="1:21" x14ac:dyDescent="0.25">
      <c r="A167" s="2" t="s">
        <v>204</v>
      </c>
      <c r="B167" s="1">
        <v>28</v>
      </c>
      <c r="C167" s="14">
        <f t="shared" si="12"/>
        <v>28</v>
      </c>
      <c r="D167" s="1" t="s">
        <v>28</v>
      </c>
      <c r="E167" s="1" t="s">
        <v>29</v>
      </c>
      <c r="F167" s="1" t="s">
        <v>41</v>
      </c>
      <c r="G167" s="1" t="str">
        <f t="shared" si="13"/>
        <v>Executive</v>
      </c>
      <c r="H167" s="1">
        <v>71138</v>
      </c>
      <c r="I167" s="1">
        <f t="shared" si="14"/>
        <v>71138</v>
      </c>
      <c r="J167" s="1">
        <v>5</v>
      </c>
      <c r="K167" s="14">
        <f t="shared" si="15"/>
        <v>5</v>
      </c>
      <c r="L167" s="1">
        <v>3</v>
      </c>
      <c r="M167" s="1">
        <f t="shared" si="16"/>
        <v>3</v>
      </c>
      <c r="N167" s="1">
        <v>1</v>
      </c>
      <c r="O167" s="1">
        <f t="shared" si="17"/>
        <v>1</v>
      </c>
      <c r="P167" s="1" t="s">
        <v>20</v>
      </c>
      <c r="Q167" s="1">
        <v>11</v>
      </c>
      <c r="R167" s="1" t="s">
        <v>19</v>
      </c>
      <c r="S167" s="1" t="s">
        <v>21</v>
      </c>
      <c r="T167" s="1">
        <v>22</v>
      </c>
      <c r="U167" s="3" t="s">
        <v>42</v>
      </c>
    </row>
    <row r="168" spans="1:21" x14ac:dyDescent="0.25">
      <c r="A168" s="2" t="s">
        <v>205</v>
      </c>
      <c r="B168" s="1">
        <v>30</v>
      </c>
      <c r="C168" s="14">
        <f t="shared" si="12"/>
        <v>30</v>
      </c>
      <c r="D168" s="1" t="s">
        <v>28</v>
      </c>
      <c r="E168" s="1" t="s">
        <v>17</v>
      </c>
      <c r="F168" s="1" t="s">
        <v>25</v>
      </c>
      <c r="G168" s="1" t="str">
        <f t="shared" si="13"/>
        <v>Associate</v>
      </c>
      <c r="H168" s="1">
        <v>66971</v>
      </c>
      <c r="I168" s="1">
        <f t="shared" si="14"/>
        <v>66971</v>
      </c>
      <c r="J168" s="1">
        <v>4</v>
      </c>
      <c r="K168" s="14">
        <f t="shared" si="15"/>
        <v>4</v>
      </c>
      <c r="L168" s="1">
        <v>5</v>
      </c>
      <c r="M168" s="1">
        <f t="shared" si="16"/>
        <v>5</v>
      </c>
      <c r="N168" s="1">
        <v>4</v>
      </c>
      <c r="O168" s="1">
        <f t="shared" si="17"/>
        <v>4</v>
      </c>
      <c r="P168" s="1" t="s">
        <v>19</v>
      </c>
      <c r="Q168" s="1">
        <v>7</v>
      </c>
      <c r="R168" s="1" t="s">
        <v>19</v>
      </c>
      <c r="S168" s="1" t="s">
        <v>26</v>
      </c>
      <c r="T168" s="1">
        <v>62</v>
      </c>
      <c r="U168" s="3" t="s">
        <v>31</v>
      </c>
    </row>
    <row r="169" spans="1:21" x14ac:dyDescent="0.25">
      <c r="A169" s="2" t="s">
        <v>206</v>
      </c>
      <c r="B169" s="1">
        <v>44</v>
      </c>
      <c r="C169" s="14">
        <f t="shared" si="12"/>
        <v>44</v>
      </c>
      <c r="D169" s="1" t="s">
        <v>16</v>
      </c>
      <c r="E169" s="1" t="s">
        <v>24</v>
      </c>
      <c r="F169" s="1" t="s">
        <v>35</v>
      </c>
      <c r="G169" s="1" t="str">
        <f t="shared" si="13"/>
        <v>Manager</v>
      </c>
      <c r="H169" s="1">
        <v>26094</v>
      </c>
      <c r="I169" s="1">
        <f t="shared" si="14"/>
        <v>26094</v>
      </c>
      <c r="J169" s="1">
        <v>5</v>
      </c>
      <c r="K169" s="14">
        <f t="shared" si="15"/>
        <v>5</v>
      </c>
      <c r="L169" s="1">
        <v>5</v>
      </c>
      <c r="M169" s="1">
        <f t="shared" si="16"/>
        <v>5</v>
      </c>
      <c r="N169" s="1"/>
      <c r="O169" s="1">
        <f t="shared" si="17"/>
        <v>3</v>
      </c>
      <c r="P169" s="1" t="s">
        <v>19</v>
      </c>
      <c r="Q169" s="1">
        <v>5</v>
      </c>
      <c r="R169" s="1" t="s">
        <v>20</v>
      </c>
      <c r="S169" s="1" t="s">
        <v>26</v>
      </c>
      <c r="T169" s="1">
        <v>61</v>
      </c>
      <c r="U169" s="3" t="s">
        <v>22</v>
      </c>
    </row>
    <row r="170" spans="1:21" x14ac:dyDescent="0.25">
      <c r="A170" s="2" t="s">
        <v>207</v>
      </c>
      <c r="B170" s="1">
        <v>34</v>
      </c>
      <c r="C170" s="14">
        <f t="shared" si="12"/>
        <v>34</v>
      </c>
      <c r="D170" s="1" t="s">
        <v>28</v>
      </c>
      <c r="E170" s="1" t="s">
        <v>40</v>
      </c>
      <c r="F170" s="1" t="s">
        <v>25</v>
      </c>
      <c r="G170" s="1" t="str">
        <f t="shared" si="13"/>
        <v>Associate</v>
      </c>
      <c r="H170" s="1">
        <v>76390</v>
      </c>
      <c r="I170" s="1">
        <f t="shared" si="14"/>
        <v>76390</v>
      </c>
      <c r="J170" s="1">
        <v>1</v>
      </c>
      <c r="K170" s="14">
        <f t="shared" si="15"/>
        <v>1</v>
      </c>
      <c r="L170" s="1">
        <v>4</v>
      </c>
      <c r="M170" s="1">
        <f t="shared" si="16"/>
        <v>4</v>
      </c>
      <c r="N170" s="1">
        <v>2</v>
      </c>
      <c r="O170" s="1">
        <f t="shared" si="17"/>
        <v>2</v>
      </c>
      <c r="P170" s="1" t="s">
        <v>20</v>
      </c>
      <c r="Q170" s="1">
        <v>14</v>
      </c>
      <c r="R170" s="1" t="s">
        <v>19</v>
      </c>
      <c r="S170" s="1" t="s">
        <v>26</v>
      </c>
      <c r="T170" s="1">
        <v>64</v>
      </c>
      <c r="U170" s="3" t="s">
        <v>36</v>
      </c>
    </row>
    <row r="171" spans="1:21" x14ac:dyDescent="0.25">
      <c r="A171" s="2" t="s">
        <v>208</v>
      </c>
      <c r="B171" s="1">
        <v>22</v>
      </c>
      <c r="C171" s="14">
        <f t="shared" si="12"/>
        <v>22</v>
      </c>
      <c r="D171" s="1" t="s">
        <v>28</v>
      </c>
      <c r="E171" s="1" t="s">
        <v>29</v>
      </c>
      <c r="F171" s="1" t="s">
        <v>35</v>
      </c>
      <c r="G171" s="1" t="str">
        <f t="shared" si="13"/>
        <v>Manager</v>
      </c>
      <c r="H171" s="1">
        <v>115754</v>
      </c>
      <c r="I171" s="1">
        <f t="shared" si="14"/>
        <v>115754</v>
      </c>
      <c r="J171" s="1">
        <v>2</v>
      </c>
      <c r="K171" s="14">
        <f t="shared" si="15"/>
        <v>2</v>
      </c>
      <c r="L171" s="1">
        <v>5</v>
      </c>
      <c r="M171" s="1">
        <f t="shared" si="16"/>
        <v>5</v>
      </c>
      <c r="N171" s="1">
        <v>1</v>
      </c>
      <c r="O171" s="1">
        <f t="shared" si="17"/>
        <v>1</v>
      </c>
      <c r="P171" s="1" t="s">
        <v>19</v>
      </c>
      <c r="Q171" s="1">
        <v>13</v>
      </c>
      <c r="R171" s="1" t="s">
        <v>20</v>
      </c>
      <c r="S171" s="1" t="s">
        <v>26</v>
      </c>
      <c r="T171" s="1">
        <v>13</v>
      </c>
      <c r="U171" s="3" t="s">
        <v>31</v>
      </c>
    </row>
    <row r="172" spans="1:21" x14ac:dyDescent="0.25">
      <c r="A172" s="2" t="s">
        <v>209</v>
      </c>
      <c r="B172" s="1">
        <v>24</v>
      </c>
      <c r="C172" s="14">
        <f t="shared" si="12"/>
        <v>24</v>
      </c>
      <c r="D172" s="1" t="s">
        <v>16</v>
      </c>
      <c r="E172" s="1" t="s">
        <v>49</v>
      </c>
      <c r="F172" s="1" t="s">
        <v>35</v>
      </c>
      <c r="G172" s="1" t="str">
        <f t="shared" si="13"/>
        <v>Manager</v>
      </c>
      <c r="H172" s="1">
        <v>55629</v>
      </c>
      <c r="I172" s="1">
        <f t="shared" si="14"/>
        <v>55629</v>
      </c>
      <c r="J172" s="1">
        <v>4</v>
      </c>
      <c r="K172" s="14">
        <f t="shared" si="15"/>
        <v>4</v>
      </c>
      <c r="L172" s="1">
        <v>2</v>
      </c>
      <c r="M172" s="1">
        <f t="shared" si="16"/>
        <v>2</v>
      </c>
      <c r="N172" s="1">
        <v>2</v>
      </c>
      <c r="O172" s="1">
        <f t="shared" si="17"/>
        <v>2</v>
      </c>
      <c r="P172" s="1" t="s">
        <v>20</v>
      </c>
      <c r="Q172" s="1">
        <v>11</v>
      </c>
      <c r="R172" s="1" t="s">
        <v>20</v>
      </c>
      <c r="S172" s="1" t="s">
        <v>30</v>
      </c>
      <c r="T172" s="1">
        <v>53</v>
      </c>
      <c r="U172" s="3" t="s">
        <v>42</v>
      </c>
    </row>
    <row r="173" spans="1:21" x14ac:dyDescent="0.25">
      <c r="A173" s="2" t="s">
        <v>210</v>
      </c>
      <c r="B173" s="1">
        <v>26</v>
      </c>
      <c r="C173" s="14">
        <f t="shared" si="12"/>
        <v>26</v>
      </c>
      <c r="D173" s="1" t="s">
        <v>16</v>
      </c>
      <c r="E173" s="1" t="s">
        <v>17</v>
      </c>
      <c r="F173" s="1" t="s">
        <v>18</v>
      </c>
      <c r="G173" s="1" t="str">
        <f t="shared" si="13"/>
        <v>Analyst</v>
      </c>
      <c r="H173" s="1"/>
      <c r="I173" s="1">
        <f t="shared" si="14"/>
        <v>68925</v>
      </c>
      <c r="J173" s="1">
        <v>2</v>
      </c>
      <c r="K173" s="14">
        <f t="shared" si="15"/>
        <v>2</v>
      </c>
      <c r="L173" s="1">
        <v>5</v>
      </c>
      <c r="M173" s="1">
        <f t="shared" si="16"/>
        <v>5</v>
      </c>
      <c r="N173" s="1">
        <v>4</v>
      </c>
      <c r="O173" s="1">
        <f t="shared" si="17"/>
        <v>4</v>
      </c>
      <c r="P173" s="1" t="s">
        <v>19</v>
      </c>
      <c r="Q173" s="1">
        <v>7</v>
      </c>
      <c r="R173" s="1" t="s">
        <v>19</v>
      </c>
      <c r="S173" s="1" t="s">
        <v>21</v>
      </c>
      <c r="T173" s="1">
        <v>43</v>
      </c>
      <c r="U173" s="3" t="s">
        <v>42</v>
      </c>
    </row>
    <row r="174" spans="1:21" x14ac:dyDescent="0.25">
      <c r="A174" s="2" t="s">
        <v>211</v>
      </c>
      <c r="B174" s="1">
        <v>55</v>
      </c>
      <c r="C174" s="14">
        <f t="shared" si="12"/>
        <v>55</v>
      </c>
      <c r="D174" s="1" t="s">
        <v>28</v>
      </c>
      <c r="E174" s="1" t="s">
        <v>24</v>
      </c>
      <c r="F174" s="1" t="s">
        <v>33</v>
      </c>
      <c r="G174" s="1" t="str">
        <f t="shared" si="13"/>
        <v>Engineer</v>
      </c>
      <c r="H174" s="1">
        <v>48102</v>
      </c>
      <c r="I174" s="1">
        <f t="shared" si="14"/>
        <v>48102</v>
      </c>
      <c r="J174" s="1">
        <v>2</v>
      </c>
      <c r="K174" s="14">
        <f t="shared" si="15"/>
        <v>2</v>
      </c>
      <c r="L174" s="1">
        <v>4</v>
      </c>
      <c r="M174" s="1">
        <f t="shared" si="16"/>
        <v>4</v>
      </c>
      <c r="N174" s="1">
        <v>3</v>
      </c>
      <c r="O174" s="1">
        <f t="shared" si="17"/>
        <v>3</v>
      </c>
      <c r="P174" s="1" t="s">
        <v>19</v>
      </c>
      <c r="Q174" s="1">
        <v>8</v>
      </c>
      <c r="R174" s="1" t="s">
        <v>19</v>
      </c>
      <c r="S174" s="1" t="s">
        <v>26</v>
      </c>
      <c r="T174" s="1">
        <v>19</v>
      </c>
      <c r="U174" s="3" t="s">
        <v>22</v>
      </c>
    </row>
    <row r="175" spans="1:21" x14ac:dyDescent="0.25">
      <c r="A175" s="2" t="s">
        <v>212</v>
      </c>
      <c r="B175" s="1">
        <v>47</v>
      </c>
      <c r="C175" s="14">
        <f t="shared" si="12"/>
        <v>47</v>
      </c>
      <c r="D175" s="1" t="s">
        <v>16</v>
      </c>
      <c r="E175" s="1" t="s">
        <v>51</v>
      </c>
      <c r="F175" s="1" t="s">
        <v>41</v>
      </c>
      <c r="G175" s="1" t="str">
        <f t="shared" si="13"/>
        <v>Executive</v>
      </c>
      <c r="H175" s="1">
        <v>26819</v>
      </c>
      <c r="I175" s="1">
        <f t="shared" si="14"/>
        <v>26819</v>
      </c>
      <c r="J175" s="1">
        <v>1</v>
      </c>
      <c r="K175" s="14">
        <f t="shared" si="15"/>
        <v>1</v>
      </c>
      <c r="L175" s="1">
        <v>5</v>
      </c>
      <c r="M175" s="1">
        <f t="shared" si="16"/>
        <v>5</v>
      </c>
      <c r="N175" s="1">
        <v>1</v>
      </c>
      <c r="O175" s="1">
        <f t="shared" si="17"/>
        <v>1</v>
      </c>
      <c r="P175" s="1" t="s">
        <v>20</v>
      </c>
      <c r="Q175" s="1">
        <v>19</v>
      </c>
      <c r="R175" s="1" t="s">
        <v>19</v>
      </c>
      <c r="S175" s="1" t="s">
        <v>21</v>
      </c>
      <c r="T175" s="1">
        <v>10</v>
      </c>
      <c r="U175" s="3" t="s">
        <v>42</v>
      </c>
    </row>
    <row r="176" spans="1:21" x14ac:dyDescent="0.25">
      <c r="A176" s="2" t="s">
        <v>213</v>
      </c>
      <c r="B176" s="1">
        <v>49</v>
      </c>
      <c r="C176" s="14">
        <f t="shared" si="12"/>
        <v>49</v>
      </c>
      <c r="D176" s="1" t="s">
        <v>16</v>
      </c>
      <c r="E176" s="1" t="s">
        <v>24</v>
      </c>
      <c r="F176" s="1" t="s">
        <v>41</v>
      </c>
      <c r="G176" s="1" t="str">
        <f t="shared" si="13"/>
        <v>Executive</v>
      </c>
      <c r="H176" s="1">
        <v>116878</v>
      </c>
      <c r="I176" s="1">
        <f t="shared" si="14"/>
        <v>116878</v>
      </c>
      <c r="J176" s="1">
        <v>1</v>
      </c>
      <c r="K176" s="14">
        <f t="shared" si="15"/>
        <v>1</v>
      </c>
      <c r="L176" s="1">
        <v>2</v>
      </c>
      <c r="M176" s="1">
        <f t="shared" si="16"/>
        <v>2</v>
      </c>
      <c r="N176" s="1">
        <v>5</v>
      </c>
      <c r="O176" s="1">
        <f t="shared" si="17"/>
        <v>5</v>
      </c>
      <c r="P176" s="1" t="s">
        <v>20</v>
      </c>
      <c r="Q176" s="1">
        <v>7</v>
      </c>
      <c r="R176" s="1" t="s">
        <v>20</v>
      </c>
      <c r="S176" s="1" t="s">
        <v>26</v>
      </c>
      <c r="T176" s="1">
        <v>46</v>
      </c>
      <c r="U176" s="3" t="s">
        <v>44</v>
      </c>
    </row>
    <row r="177" spans="1:21" x14ac:dyDescent="0.25">
      <c r="A177" s="2" t="s">
        <v>214</v>
      </c>
      <c r="B177" s="1">
        <v>40</v>
      </c>
      <c r="C177" s="14">
        <f t="shared" si="12"/>
        <v>40</v>
      </c>
      <c r="D177" s="1" t="s">
        <v>16</v>
      </c>
      <c r="E177" s="1" t="s">
        <v>17</v>
      </c>
      <c r="F177" s="1" t="s">
        <v>25</v>
      </c>
      <c r="G177" s="1" t="str">
        <f t="shared" si="13"/>
        <v>Associate</v>
      </c>
      <c r="H177" s="1">
        <v>46972</v>
      </c>
      <c r="I177" s="1">
        <f t="shared" si="14"/>
        <v>46972</v>
      </c>
      <c r="J177" s="1"/>
      <c r="K177" s="14">
        <f t="shared" si="15"/>
        <v>3</v>
      </c>
      <c r="L177" s="1">
        <v>3</v>
      </c>
      <c r="M177" s="1">
        <f t="shared" si="16"/>
        <v>3</v>
      </c>
      <c r="N177" s="1">
        <v>3</v>
      </c>
      <c r="O177" s="1">
        <f t="shared" si="17"/>
        <v>3</v>
      </c>
      <c r="P177" s="1" t="s">
        <v>19</v>
      </c>
      <c r="Q177" s="1">
        <v>17</v>
      </c>
      <c r="R177" s="1" t="s">
        <v>19</v>
      </c>
      <c r="S177" s="1" t="s">
        <v>26</v>
      </c>
      <c r="T177" s="1">
        <v>59</v>
      </c>
      <c r="U177" s="3" t="s">
        <v>31</v>
      </c>
    </row>
    <row r="178" spans="1:21" x14ac:dyDescent="0.25">
      <c r="A178" s="2" t="s">
        <v>215</v>
      </c>
      <c r="B178" s="1">
        <v>52</v>
      </c>
      <c r="C178" s="14">
        <f t="shared" si="12"/>
        <v>52</v>
      </c>
      <c r="D178" s="1" t="s">
        <v>16</v>
      </c>
      <c r="E178" s="1" t="s">
        <v>29</v>
      </c>
      <c r="F178" s="1" t="s">
        <v>38</v>
      </c>
      <c r="G178" s="1" t="str">
        <f t="shared" si="13"/>
        <v>Lead</v>
      </c>
      <c r="H178" s="1">
        <v>105994</v>
      </c>
      <c r="I178" s="1">
        <f t="shared" si="14"/>
        <v>105994</v>
      </c>
      <c r="J178" s="1">
        <v>4</v>
      </c>
      <c r="K178" s="14">
        <f t="shared" si="15"/>
        <v>4</v>
      </c>
      <c r="L178" s="1">
        <v>5</v>
      </c>
      <c r="M178" s="1">
        <f t="shared" si="16"/>
        <v>5</v>
      </c>
      <c r="N178" s="1">
        <v>3</v>
      </c>
      <c r="O178" s="1">
        <f t="shared" si="17"/>
        <v>3</v>
      </c>
      <c r="P178" s="1" t="s">
        <v>20</v>
      </c>
      <c r="Q178" s="1">
        <v>13</v>
      </c>
      <c r="R178" s="1" t="s">
        <v>19</v>
      </c>
      <c r="S178" s="1" t="s">
        <v>30</v>
      </c>
      <c r="T178" s="1">
        <v>53</v>
      </c>
      <c r="U178" s="3" t="s">
        <v>44</v>
      </c>
    </row>
    <row r="179" spans="1:21" x14ac:dyDescent="0.25">
      <c r="A179" s="2" t="s">
        <v>216</v>
      </c>
      <c r="B179" s="1">
        <v>55</v>
      </c>
      <c r="C179" s="14">
        <f t="shared" si="12"/>
        <v>55</v>
      </c>
      <c r="D179" s="1" t="s">
        <v>28</v>
      </c>
      <c r="E179" s="1" t="s">
        <v>51</v>
      </c>
      <c r="F179" s="1" t="s">
        <v>41</v>
      </c>
      <c r="G179" s="1" t="str">
        <f t="shared" si="13"/>
        <v>Executive</v>
      </c>
      <c r="H179" s="1">
        <v>57418</v>
      </c>
      <c r="I179" s="1">
        <f t="shared" si="14"/>
        <v>57418</v>
      </c>
      <c r="J179" s="1">
        <v>2</v>
      </c>
      <c r="K179" s="14">
        <f t="shared" si="15"/>
        <v>2</v>
      </c>
      <c r="L179" s="1">
        <v>4</v>
      </c>
      <c r="M179" s="1">
        <f t="shared" si="16"/>
        <v>4</v>
      </c>
      <c r="N179" s="1">
        <v>1</v>
      </c>
      <c r="O179" s="1">
        <f t="shared" si="17"/>
        <v>1</v>
      </c>
      <c r="P179" s="1" t="s">
        <v>20</v>
      </c>
      <c r="Q179" s="1">
        <v>13</v>
      </c>
      <c r="R179" s="1" t="s">
        <v>19</v>
      </c>
      <c r="S179" s="1" t="s">
        <v>30</v>
      </c>
      <c r="T179" s="1">
        <v>36</v>
      </c>
      <c r="U179" s="3" t="s">
        <v>36</v>
      </c>
    </row>
    <row r="180" spans="1:21" x14ac:dyDescent="0.25">
      <c r="A180" s="2" t="s">
        <v>217</v>
      </c>
      <c r="B180" s="1">
        <v>34</v>
      </c>
      <c r="C180" s="14">
        <f t="shared" si="12"/>
        <v>34</v>
      </c>
      <c r="D180" s="1" t="s">
        <v>28</v>
      </c>
      <c r="E180" s="1" t="s">
        <v>17</v>
      </c>
      <c r="F180" s="1" t="s">
        <v>35</v>
      </c>
      <c r="G180" s="1" t="str">
        <f t="shared" si="13"/>
        <v>Manager</v>
      </c>
      <c r="H180" s="1">
        <v>76954</v>
      </c>
      <c r="I180" s="1">
        <f t="shared" si="14"/>
        <v>76954</v>
      </c>
      <c r="J180" s="1">
        <v>3</v>
      </c>
      <c r="K180" s="14">
        <f t="shared" si="15"/>
        <v>3</v>
      </c>
      <c r="L180" s="1">
        <v>1</v>
      </c>
      <c r="M180" s="1">
        <f t="shared" si="16"/>
        <v>1</v>
      </c>
      <c r="N180" s="1">
        <v>5</v>
      </c>
      <c r="O180" s="1">
        <f t="shared" si="17"/>
        <v>5</v>
      </c>
      <c r="P180" s="1" t="s">
        <v>19</v>
      </c>
      <c r="Q180" s="1">
        <v>1</v>
      </c>
      <c r="R180" s="1" t="s">
        <v>20</v>
      </c>
      <c r="S180" s="1" t="s">
        <v>30</v>
      </c>
      <c r="T180" s="1">
        <v>10</v>
      </c>
      <c r="U180" s="3" t="s">
        <v>22</v>
      </c>
    </row>
    <row r="181" spans="1:21" x14ac:dyDescent="0.25">
      <c r="A181" s="2" t="s">
        <v>218</v>
      </c>
      <c r="B181" s="1">
        <v>33</v>
      </c>
      <c r="C181" s="14">
        <f t="shared" si="12"/>
        <v>33</v>
      </c>
      <c r="D181" s="1" t="s">
        <v>16</v>
      </c>
      <c r="E181" s="1" t="s">
        <v>49</v>
      </c>
      <c r="F181" s="1" t="s">
        <v>41</v>
      </c>
      <c r="G181" s="1" t="str">
        <f t="shared" si="13"/>
        <v>Executive</v>
      </c>
      <c r="H181" s="1">
        <v>61642</v>
      </c>
      <c r="I181" s="1">
        <f t="shared" si="14"/>
        <v>61642</v>
      </c>
      <c r="J181" s="1">
        <v>3</v>
      </c>
      <c r="K181" s="14">
        <f t="shared" si="15"/>
        <v>3</v>
      </c>
      <c r="L181" s="1">
        <v>1</v>
      </c>
      <c r="M181" s="1">
        <f t="shared" si="16"/>
        <v>1</v>
      </c>
      <c r="N181" s="1">
        <v>2</v>
      </c>
      <c r="O181" s="1">
        <f t="shared" si="17"/>
        <v>2</v>
      </c>
      <c r="P181" s="1" t="s">
        <v>19</v>
      </c>
      <c r="Q181" s="1">
        <v>3</v>
      </c>
      <c r="R181" s="1" t="s">
        <v>20</v>
      </c>
      <c r="S181" s="1" t="s">
        <v>21</v>
      </c>
      <c r="T181" s="1">
        <v>31</v>
      </c>
      <c r="U181" s="3" t="s">
        <v>42</v>
      </c>
    </row>
    <row r="182" spans="1:21" x14ac:dyDescent="0.25">
      <c r="A182" s="2" t="s">
        <v>219</v>
      </c>
      <c r="B182" s="1">
        <v>36</v>
      </c>
      <c r="C182" s="14">
        <f t="shared" si="12"/>
        <v>36</v>
      </c>
      <c r="D182" s="1" t="s">
        <v>28</v>
      </c>
      <c r="E182" s="1" t="s">
        <v>29</v>
      </c>
      <c r="F182" s="1" t="s">
        <v>33</v>
      </c>
      <c r="G182" s="1" t="str">
        <f t="shared" si="13"/>
        <v>Engineer</v>
      </c>
      <c r="H182" s="1">
        <v>79112</v>
      </c>
      <c r="I182" s="1">
        <f t="shared" si="14"/>
        <v>79112</v>
      </c>
      <c r="J182" s="1">
        <v>5</v>
      </c>
      <c r="K182" s="14">
        <f t="shared" si="15"/>
        <v>5</v>
      </c>
      <c r="L182" s="1">
        <v>3</v>
      </c>
      <c r="M182" s="1">
        <f t="shared" si="16"/>
        <v>3</v>
      </c>
      <c r="N182" s="1">
        <v>3</v>
      </c>
      <c r="O182" s="1">
        <f t="shared" si="17"/>
        <v>3</v>
      </c>
      <c r="P182" s="1" t="s">
        <v>20</v>
      </c>
      <c r="Q182" s="1">
        <v>11</v>
      </c>
      <c r="R182" s="1" t="s">
        <v>20</v>
      </c>
      <c r="S182" s="1" t="s">
        <v>30</v>
      </c>
      <c r="T182" s="1">
        <v>17</v>
      </c>
      <c r="U182" s="3" t="s">
        <v>42</v>
      </c>
    </row>
    <row r="183" spans="1:21" x14ac:dyDescent="0.25">
      <c r="A183" s="2" t="s">
        <v>220</v>
      </c>
      <c r="B183" s="1">
        <v>41</v>
      </c>
      <c r="C183" s="14">
        <f t="shared" si="12"/>
        <v>41</v>
      </c>
      <c r="D183" s="1" t="s">
        <v>16</v>
      </c>
      <c r="E183" s="1" t="s">
        <v>29</v>
      </c>
      <c r="F183" s="1" t="s">
        <v>18</v>
      </c>
      <c r="G183" s="1" t="str">
        <f t="shared" si="13"/>
        <v>Analyst</v>
      </c>
      <c r="H183" s="1">
        <v>72254</v>
      </c>
      <c r="I183" s="1">
        <f t="shared" si="14"/>
        <v>72254</v>
      </c>
      <c r="J183" s="1">
        <v>1</v>
      </c>
      <c r="K183" s="14">
        <f t="shared" si="15"/>
        <v>1</v>
      </c>
      <c r="L183" s="1">
        <v>5</v>
      </c>
      <c r="M183" s="1">
        <f t="shared" si="16"/>
        <v>5</v>
      </c>
      <c r="N183" s="1">
        <v>2</v>
      </c>
      <c r="O183" s="1">
        <f t="shared" si="17"/>
        <v>2</v>
      </c>
      <c r="P183" s="1" t="s">
        <v>19</v>
      </c>
      <c r="Q183" s="1">
        <v>0</v>
      </c>
      <c r="R183" s="1" t="s">
        <v>20</v>
      </c>
      <c r="S183" s="1" t="s">
        <v>26</v>
      </c>
      <c r="T183" s="1">
        <v>79</v>
      </c>
      <c r="U183" s="3" t="s">
        <v>31</v>
      </c>
    </row>
    <row r="184" spans="1:21" x14ac:dyDescent="0.25">
      <c r="A184" s="2" t="s">
        <v>221</v>
      </c>
      <c r="B184" s="1">
        <v>47</v>
      </c>
      <c r="C184" s="14">
        <f t="shared" si="12"/>
        <v>47</v>
      </c>
      <c r="D184" s="1" t="s">
        <v>28</v>
      </c>
      <c r="E184" s="1" t="s">
        <v>51</v>
      </c>
      <c r="F184" s="1" t="s">
        <v>41</v>
      </c>
      <c r="G184" s="1" t="str">
        <f t="shared" si="13"/>
        <v>Executive</v>
      </c>
      <c r="H184" s="1">
        <v>61236</v>
      </c>
      <c r="I184" s="1">
        <f t="shared" si="14"/>
        <v>61236</v>
      </c>
      <c r="J184" s="1">
        <v>2</v>
      </c>
      <c r="K184" s="14">
        <f t="shared" si="15"/>
        <v>2</v>
      </c>
      <c r="L184" s="1">
        <v>4</v>
      </c>
      <c r="M184" s="1">
        <f t="shared" si="16"/>
        <v>4</v>
      </c>
      <c r="N184" s="1">
        <v>5</v>
      </c>
      <c r="O184" s="1">
        <f t="shared" si="17"/>
        <v>5</v>
      </c>
      <c r="P184" s="1" t="s">
        <v>19</v>
      </c>
      <c r="Q184" s="1">
        <v>15</v>
      </c>
      <c r="R184" s="1" t="s">
        <v>20</v>
      </c>
      <c r="S184" s="1" t="s">
        <v>30</v>
      </c>
      <c r="T184" s="1">
        <v>67</v>
      </c>
      <c r="U184" s="3" t="s">
        <v>42</v>
      </c>
    </row>
    <row r="185" spans="1:21" x14ac:dyDescent="0.25">
      <c r="A185" s="2" t="s">
        <v>222</v>
      </c>
      <c r="B185" s="1">
        <v>50</v>
      </c>
      <c r="C185" s="14">
        <f t="shared" si="12"/>
        <v>50</v>
      </c>
      <c r="D185" s="1" t="s">
        <v>16</v>
      </c>
      <c r="E185" s="1" t="s">
        <v>17</v>
      </c>
      <c r="F185" s="1" t="s">
        <v>18</v>
      </c>
      <c r="G185" s="1" t="str">
        <f t="shared" si="13"/>
        <v>Analyst</v>
      </c>
      <c r="H185" s="1"/>
      <c r="I185" s="1">
        <f t="shared" si="14"/>
        <v>68925</v>
      </c>
      <c r="J185" s="1">
        <v>2</v>
      </c>
      <c r="K185" s="14">
        <f t="shared" si="15"/>
        <v>2</v>
      </c>
      <c r="L185" s="1">
        <v>5</v>
      </c>
      <c r="M185" s="1">
        <f t="shared" si="16"/>
        <v>5</v>
      </c>
      <c r="N185" s="1">
        <v>4</v>
      </c>
      <c r="O185" s="1">
        <f t="shared" si="17"/>
        <v>4</v>
      </c>
      <c r="P185" s="1" t="s">
        <v>19</v>
      </c>
      <c r="Q185" s="1">
        <v>17</v>
      </c>
      <c r="R185" s="1" t="s">
        <v>19</v>
      </c>
      <c r="S185" s="1" t="s">
        <v>26</v>
      </c>
      <c r="T185" s="1">
        <v>9</v>
      </c>
      <c r="U185" s="3" t="s">
        <v>22</v>
      </c>
    </row>
    <row r="186" spans="1:21" x14ac:dyDescent="0.25">
      <c r="A186" s="2" t="s">
        <v>223</v>
      </c>
      <c r="B186" s="1">
        <v>24</v>
      </c>
      <c r="C186" s="14">
        <f t="shared" si="12"/>
        <v>24</v>
      </c>
      <c r="D186" s="1" t="s">
        <v>16</v>
      </c>
      <c r="E186" s="1" t="s">
        <v>49</v>
      </c>
      <c r="F186" s="1" t="s">
        <v>41</v>
      </c>
      <c r="G186" s="1" t="str">
        <f t="shared" si="13"/>
        <v>Executive</v>
      </c>
      <c r="H186" s="1">
        <v>100667</v>
      </c>
      <c r="I186" s="1">
        <f t="shared" si="14"/>
        <v>100667</v>
      </c>
      <c r="J186" s="1">
        <v>2</v>
      </c>
      <c r="K186" s="14">
        <f t="shared" si="15"/>
        <v>2</v>
      </c>
      <c r="L186" s="1">
        <v>1</v>
      </c>
      <c r="M186" s="1">
        <f t="shared" si="16"/>
        <v>1</v>
      </c>
      <c r="N186" s="1">
        <v>2</v>
      </c>
      <c r="O186" s="1">
        <f t="shared" si="17"/>
        <v>2</v>
      </c>
      <c r="P186" s="1" t="s">
        <v>19</v>
      </c>
      <c r="Q186" s="1">
        <v>6</v>
      </c>
      <c r="R186" s="1" t="s">
        <v>20</v>
      </c>
      <c r="S186" s="1" t="s">
        <v>30</v>
      </c>
      <c r="T186" s="1">
        <v>12</v>
      </c>
      <c r="U186" s="3" t="s">
        <v>31</v>
      </c>
    </row>
    <row r="187" spans="1:21" x14ac:dyDescent="0.25">
      <c r="A187" s="2" t="s">
        <v>224</v>
      </c>
      <c r="B187" s="1">
        <v>51</v>
      </c>
      <c r="C187" s="14">
        <f t="shared" si="12"/>
        <v>51</v>
      </c>
      <c r="D187" s="1" t="s">
        <v>28</v>
      </c>
      <c r="E187" s="1" t="s">
        <v>40</v>
      </c>
      <c r="F187" s="1" t="s">
        <v>35</v>
      </c>
      <c r="G187" s="1" t="str">
        <f t="shared" si="13"/>
        <v>Manager</v>
      </c>
      <c r="H187" s="1">
        <v>87758</v>
      </c>
      <c r="I187" s="1">
        <f t="shared" si="14"/>
        <v>87758</v>
      </c>
      <c r="J187" s="1">
        <v>5</v>
      </c>
      <c r="K187" s="14">
        <f t="shared" si="15"/>
        <v>5</v>
      </c>
      <c r="L187" s="1">
        <v>4</v>
      </c>
      <c r="M187" s="1">
        <f t="shared" si="16"/>
        <v>4</v>
      </c>
      <c r="N187" s="1">
        <v>1</v>
      </c>
      <c r="O187" s="1">
        <f t="shared" si="17"/>
        <v>1</v>
      </c>
      <c r="P187" s="1" t="s">
        <v>19</v>
      </c>
      <c r="Q187" s="1">
        <v>16</v>
      </c>
      <c r="R187" s="1" t="s">
        <v>20</v>
      </c>
      <c r="S187" s="1" t="s">
        <v>26</v>
      </c>
      <c r="T187" s="1">
        <v>41</v>
      </c>
      <c r="U187" s="3" t="s">
        <v>22</v>
      </c>
    </row>
    <row r="188" spans="1:21" x14ac:dyDescent="0.25">
      <c r="A188" s="2" t="s">
        <v>225</v>
      </c>
      <c r="B188" s="1">
        <v>53</v>
      </c>
      <c r="C188" s="14">
        <f t="shared" si="12"/>
        <v>53</v>
      </c>
      <c r="D188" s="1" t="s">
        <v>28</v>
      </c>
      <c r="E188" s="1" t="s">
        <v>51</v>
      </c>
      <c r="F188" s="1" t="s">
        <v>35</v>
      </c>
      <c r="G188" s="1" t="str">
        <f t="shared" si="13"/>
        <v>Manager</v>
      </c>
      <c r="H188" s="1">
        <v>30624</v>
      </c>
      <c r="I188" s="1">
        <f t="shared" si="14"/>
        <v>30624</v>
      </c>
      <c r="J188" s="1">
        <v>5</v>
      </c>
      <c r="K188" s="14">
        <f t="shared" si="15"/>
        <v>5</v>
      </c>
      <c r="L188" s="1">
        <v>2</v>
      </c>
      <c r="M188" s="1">
        <f t="shared" si="16"/>
        <v>2</v>
      </c>
      <c r="N188" s="1">
        <v>2</v>
      </c>
      <c r="O188" s="1">
        <f t="shared" si="17"/>
        <v>2</v>
      </c>
      <c r="P188" s="1" t="s">
        <v>19</v>
      </c>
      <c r="Q188" s="1">
        <v>19</v>
      </c>
      <c r="R188" s="1" t="s">
        <v>20</v>
      </c>
      <c r="S188" s="1" t="s">
        <v>30</v>
      </c>
      <c r="T188" s="1">
        <v>39</v>
      </c>
      <c r="U188" s="3" t="s">
        <v>42</v>
      </c>
    </row>
    <row r="189" spans="1:21" x14ac:dyDescent="0.25">
      <c r="A189" s="2" t="s">
        <v>226</v>
      </c>
      <c r="B189" s="1">
        <v>26</v>
      </c>
      <c r="C189" s="14">
        <f t="shared" si="12"/>
        <v>26</v>
      </c>
      <c r="D189" s="1" t="s">
        <v>28</v>
      </c>
      <c r="E189" s="1" t="s">
        <v>49</v>
      </c>
      <c r="F189" s="1" t="s">
        <v>33</v>
      </c>
      <c r="G189" s="1" t="str">
        <f t="shared" si="13"/>
        <v>Engineer</v>
      </c>
      <c r="H189" s="1">
        <v>92055</v>
      </c>
      <c r="I189" s="1">
        <f t="shared" si="14"/>
        <v>92055</v>
      </c>
      <c r="J189" s="1">
        <v>2</v>
      </c>
      <c r="K189" s="14">
        <f t="shared" si="15"/>
        <v>2</v>
      </c>
      <c r="L189" s="1">
        <v>2</v>
      </c>
      <c r="M189" s="1">
        <f t="shared" si="16"/>
        <v>2</v>
      </c>
      <c r="N189" s="1">
        <v>3</v>
      </c>
      <c r="O189" s="1">
        <f t="shared" si="17"/>
        <v>3</v>
      </c>
      <c r="P189" s="1" t="s">
        <v>19</v>
      </c>
      <c r="Q189" s="1">
        <v>20</v>
      </c>
      <c r="R189" s="1" t="s">
        <v>19</v>
      </c>
      <c r="S189" s="1" t="s">
        <v>21</v>
      </c>
      <c r="T189" s="1">
        <v>56</v>
      </c>
      <c r="U189" s="3" t="s">
        <v>42</v>
      </c>
    </row>
    <row r="190" spans="1:21" x14ac:dyDescent="0.25">
      <c r="A190" s="2" t="s">
        <v>227</v>
      </c>
      <c r="B190" s="1">
        <v>45</v>
      </c>
      <c r="C190" s="14">
        <f t="shared" si="12"/>
        <v>45</v>
      </c>
      <c r="D190" s="1" t="s">
        <v>28</v>
      </c>
      <c r="E190" s="1" t="s">
        <v>40</v>
      </c>
      <c r="F190" s="1" t="s">
        <v>38</v>
      </c>
      <c r="G190" s="1" t="str">
        <f t="shared" si="13"/>
        <v>Lead</v>
      </c>
      <c r="H190" s="1">
        <v>19238</v>
      </c>
      <c r="I190" s="1">
        <f t="shared" si="14"/>
        <v>19238</v>
      </c>
      <c r="J190" s="1">
        <v>2</v>
      </c>
      <c r="K190" s="14">
        <f t="shared" si="15"/>
        <v>2</v>
      </c>
      <c r="L190" s="1">
        <v>1</v>
      </c>
      <c r="M190" s="1">
        <f t="shared" si="16"/>
        <v>1</v>
      </c>
      <c r="N190" s="1">
        <v>4</v>
      </c>
      <c r="O190" s="1">
        <f t="shared" si="17"/>
        <v>4</v>
      </c>
      <c r="P190" s="1" t="s">
        <v>20</v>
      </c>
      <c r="Q190" s="1">
        <v>20</v>
      </c>
      <c r="R190" s="1" t="s">
        <v>20</v>
      </c>
      <c r="S190" s="1" t="s">
        <v>26</v>
      </c>
      <c r="T190" s="1">
        <v>17</v>
      </c>
      <c r="U190" s="3" t="s">
        <v>31</v>
      </c>
    </row>
    <row r="191" spans="1:21" x14ac:dyDescent="0.25">
      <c r="A191" s="2" t="s">
        <v>228</v>
      </c>
      <c r="B191" s="1">
        <v>23</v>
      </c>
      <c r="C191" s="14">
        <f t="shared" si="12"/>
        <v>23</v>
      </c>
      <c r="D191" s="1" t="s">
        <v>16</v>
      </c>
      <c r="E191" s="1" t="s">
        <v>51</v>
      </c>
      <c r="F191" s="1" t="s">
        <v>38</v>
      </c>
      <c r="G191" s="1" t="str">
        <f t="shared" si="13"/>
        <v>Lead</v>
      </c>
      <c r="H191" s="1">
        <v>92289</v>
      </c>
      <c r="I191" s="1">
        <f t="shared" si="14"/>
        <v>92289</v>
      </c>
      <c r="J191" s="1">
        <v>4</v>
      </c>
      <c r="K191" s="14">
        <f t="shared" si="15"/>
        <v>4</v>
      </c>
      <c r="L191" s="1">
        <v>3</v>
      </c>
      <c r="M191" s="1">
        <f t="shared" si="16"/>
        <v>3</v>
      </c>
      <c r="N191" s="1">
        <v>1</v>
      </c>
      <c r="O191" s="1">
        <f t="shared" si="17"/>
        <v>1</v>
      </c>
      <c r="P191" s="1" t="s">
        <v>19</v>
      </c>
      <c r="Q191" s="1">
        <v>8</v>
      </c>
      <c r="R191" s="1" t="s">
        <v>19</v>
      </c>
      <c r="S191" s="1" t="s">
        <v>21</v>
      </c>
      <c r="T191" s="1">
        <v>45</v>
      </c>
      <c r="U191" s="3" t="s">
        <v>22</v>
      </c>
    </row>
    <row r="192" spans="1:21" x14ac:dyDescent="0.25">
      <c r="A192" s="2" t="s">
        <v>229</v>
      </c>
      <c r="B192" s="1">
        <v>34</v>
      </c>
      <c r="C192" s="14">
        <f t="shared" si="12"/>
        <v>34</v>
      </c>
      <c r="D192" s="1" t="s">
        <v>16</v>
      </c>
      <c r="E192" s="1" t="s">
        <v>17</v>
      </c>
      <c r="F192" s="1" t="s">
        <v>33</v>
      </c>
      <c r="G192" s="1" t="str">
        <f t="shared" si="13"/>
        <v>Engineer</v>
      </c>
      <c r="H192" s="1">
        <v>28084</v>
      </c>
      <c r="I192" s="1">
        <f t="shared" si="14"/>
        <v>28084</v>
      </c>
      <c r="J192" s="1">
        <v>3</v>
      </c>
      <c r="K192" s="14">
        <f t="shared" si="15"/>
        <v>3</v>
      </c>
      <c r="L192" s="1">
        <v>2</v>
      </c>
      <c r="M192" s="1">
        <f t="shared" si="16"/>
        <v>2</v>
      </c>
      <c r="N192" s="1">
        <v>5</v>
      </c>
      <c r="O192" s="1">
        <f t="shared" si="17"/>
        <v>5</v>
      </c>
      <c r="P192" s="1" t="s">
        <v>19</v>
      </c>
      <c r="Q192" s="1">
        <v>18</v>
      </c>
      <c r="R192" s="1" t="s">
        <v>20</v>
      </c>
      <c r="S192" s="1" t="s">
        <v>26</v>
      </c>
      <c r="T192" s="1">
        <v>74</v>
      </c>
      <c r="U192" s="3" t="s">
        <v>36</v>
      </c>
    </row>
    <row r="193" spans="1:21" x14ac:dyDescent="0.25">
      <c r="A193" s="2" t="s">
        <v>230</v>
      </c>
      <c r="B193" s="1">
        <v>45</v>
      </c>
      <c r="C193" s="14">
        <f t="shared" si="12"/>
        <v>45</v>
      </c>
      <c r="D193" s="1" t="s">
        <v>16</v>
      </c>
      <c r="E193" s="1" t="s">
        <v>17</v>
      </c>
      <c r="F193" s="1" t="s">
        <v>38</v>
      </c>
      <c r="G193" s="1" t="str">
        <f t="shared" si="13"/>
        <v>Lead</v>
      </c>
      <c r="H193" s="1"/>
      <c r="I193" s="1">
        <f t="shared" si="14"/>
        <v>68925</v>
      </c>
      <c r="J193" s="1">
        <v>5</v>
      </c>
      <c r="K193" s="14">
        <f t="shared" si="15"/>
        <v>5</v>
      </c>
      <c r="L193" s="1">
        <v>3</v>
      </c>
      <c r="M193" s="1">
        <f t="shared" si="16"/>
        <v>3</v>
      </c>
      <c r="N193" s="1">
        <v>1</v>
      </c>
      <c r="O193" s="1">
        <f t="shared" si="17"/>
        <v>1</v>
      </c>
      <c r="P193" s="1" t="s">
        <v>19</v>
      </c>
      <c r="Q193" s="1">
        <v>13</v>
      </c>
      <c r="R193" s="1" t="s">
        <v>19</v>
      </c>
      <c r="S193" s="1" t="s">
        <v>21</v>
      </c>
      <c r="T193" s="1">
        <v>48</v>
      </c>
      <c r="U193" s="3" t="s">
        <v>31</v>
      </c>
    </row>
    <row r="194" spans="1:21" x14ac:dyDescent="0.25">
      <c r="A194" s="2" t="s">
        <v>231</v>
      </c>
      <c r="B194" s="1">
        <v>46</v>
      </c>
      <c r="C194" s="14">
        <f t="shared" ref="C194:C257" si="18">IF(B194="",39,B194)</f>
        <v>46</v>
      </c>
      <c r="D194" s="1" t="s">
        <v>28</v>
      </c>
      <c r="E194" s="1" t="s">
        <v>40</v>
      </c>
      <c r="F194" s="1" t="s">
        <v>38</v>
      </c>
      <c r="G194" s="1" t="str">
        <f t="shared" ref="G194:G257" si="19">PROPER(F194)</f>
        <v>Lead</v>
      </c>
      <c r="H194" s="1">
        <v>53825</v>
      </c>
      <c r="I194" s="1">
        <f t="shared" ref="I194:I257" si="20">IF(H194="",68925,H194)</f>
        <v>53825</v>
      </c>
      <c r="J194" s="1">
        <v>4</v>
      </c>
      <c r="K194" s="14">
        <f t="shared" ref="K194:K257" si="21">IF(J194="",3,J194)</f>
        <v>4</v>
      </c>
      <c r="L194" s="1">
        <v>4</v>
      </c>
      <c r="M194" s="1">
        <f t="shared" ref="M194:M257" si="22">IF(L194="",3,L194)</f>
        <v>4</v>
      </c>
      <c r="N194" s="1">
        <v>2</v>
      </c>
      <c r="O194" s="1">
        <f t="shared" ref="O194:O257" si="23">IF(N194="",3,N194)</f>
        <v>2</v>
      </c>
      <c r="P194" s="1" t="s">
        <v>20</v>
      </c>
      <c r="Q194" s="1">
        <v>17</v>
      </c>
      <c r="R194" s="1" t="s">
        <v>20</v>
      </c>
      <c r="S194" s="1" t="s">
        <v>30</v>
      </c>
      <c r="T194" s="1">
        <v>28</v>
      </c>
      <c r="U194" s="3" t="s">
        <v>31</v>
      </c>
    </row>
    <row r="195" spans="1:21" x14ac:dyDescent="0.25">
      <c r="A195" s="2" t="s">
        <v>232</v>
      </c>
      <c r="B195" s="1">
        <v>45</v>
      </c>
      <c r="C195" s="14">
        <f t="shared" si="18"/>
        <v>45</v>
      </c>
      <c r="D195" s="1" t="s">
        <v>16</v>
      </c>
      <c r="E195" s="1" t="s">
        <v>24</v>
      </c>
      <c r="F195" s="1" t="s">
        <v>18</v>
      </c>
      <c r="G195" s="1" t="str">
        <f t="shared" si="19"/>
        <v>Analyst</v>
      </c>
      <c r="H195" s="1">
        <v>50302</v>
      </c>
      <c r="I195" s="1">
        <f t="shared" si="20"/>
        <v>50302</v>
      </c>
      <c r="J195" s="1">
        <v>1</v>
      </c>
      <c r="K195" s="14">
        <f t="shared" si="21"/>
        <v>1</v>
      </c>
      <c r="L195" s="1">
        <v>1</v>
      </c>
      <c r="M195" s="1">
        <f t="shared" si="22"/>
        <v>1</v>
      </c>
      <c r="N195" s="1">
        <v>3</v>
      </c>
      <c r="O195" s="1">
        <f t="shared" si="23"/>
        <v>3</v>
      </c>
      <c r="P195" s="1" t="s">
        <v>19</v>
      </c>
      <c r="Q195" s="1">
        <v>12</v>
      </c>
      <c r="R195" s="1" t="s">
        <v>19</v>
      </c>
      <c r="S195" s="1" t="s">
        <v>26</v>
      </c>
      <c r="T195" s="1">
        <v>54</v>
      </c>
      <c r="U195" s="3" t="s">
        <v>36</v>
      </c>
    </row>
    <row r="196" spans="1:21" x14ac:dyDescent="0.25">
      <c r="A196" s="2" t="s">
        <v>233</v>
      </c>
      <c r="B196" s="1">
        <v>44</v>
      </c>
      <c r="C196" s="14">
        <f t="shared" si="18"/>
        <v>44</v>
      </c>
      <c r="D196" s="1" t="s">
        <v>16</v>
      </c>
      <c r="E196" s="1" t="s">
        <v>40</v>
      </c>
      <c r="F196" s="1" t="s">
        <v>35</v>
      </c>
      <c r="G196" s="1" t="str">
        <f t="shared" si="19"/>
        <v>Manager</v>
      </c>
      <c r="H196" s="1">
        <v>58405</v>
      </c>
      <c r="I196" s="1">
        <f t="shared" si="20"/>
        <v>58405</v>
      </c>
      <c r="J196" s="1">
        <v>4</v>
      </c>
      <c r="K196" s="14">
        <f t="shared" si="21"/>
        <v>4</v>
      </c>
      <c r="L196" s="1">
        <v>3</v>
      </c>
      <c r="M196" s="1">
        <f t="shared" si="22"/>
        <v>3</v>
      </c>
      <c r="N196" s="1">
        <v>3</v>
      </c>
      <c r="O196" s="1">
        <f t="shared" si="23"/>
        <v>3</v>
      </c>
      <c r="P196" s="1" t="s">
        <v>19</v>
      </c>
      <c r="Q196" s="1">
        <v>4</v>
      </c>
      <c r="R196" s="1" t="s">
        <v>19</v>
      </c>
      <c r="S196" s="1" t="s">
        <v>21</v>
      </c>
      <c r="T196" s="1">
        <v>60</v>
      </c>
      <c r="U196" s="3" t="s">
        <v>42</v>
      </c>
    </row>
    <row r="197" spans="1:21" x14ac:dyDescent="0.25">
      <c r="A197" s="2" t="s">
        <v>234</v>
      </c>
      <c r="B197" s="1">
        <v>56</v>
      </c>
      <c r="C197" s="14">
        <f t="shared" si="18"/>
        <v>56</v>
      </c>
      <c r="D197" s="1" t="s">
        <v>28</v>
      </c>
      <c r="E197" s="1" t="s">
        <v>40</v>
      </c>
      <c r="F197" s="1" t="s">
        <v>35</v>
      </c>
      <c r="G197" s="1" t="str">
        <f t="shared" si="19"/>
        <v>Manager</v>
      </c>
      <c r="H197" s="1">
        <v>29746</v>
      </c>
      <c r="I197" s="1">
        <f t="shared" si="20"/>
        <v>29746</v>
      </c>
      <c r="J197" s="1">
        <v>3</v>
      </c>
      <c r="K197" s="14">
        <f t="shared" si="21"/>
        <v>3</v>
      </c>
      <c r="L197" s="1">
        <v>5</v>
      </c>
      <c r="M197" s="1">
        <f t="shared" si="22"/>
        <v>5</v>
      </c>
      <c r="N197" s="1">
        <v>1</v>
      </c>
      <c r="O197" s="1">
        <f t="shared" si="23"/>
        <v>1</v>
      </c>
      <c r="P197" s="1" t="s">
        <v>20</v>
      </c>
      <c r="Q197" s="1">
        <v>12</v>
      </c>
      <c r="R197" s="1" t="s">
        <v>19</v>
      </c>
      <c r="S197" s="1" t="s">
        <v>30</v>
      </c>
      <c r="T197" s="1">
        <v>57</v>
      </c>
      <c r="U197" s="3" t="s">
        <v>42</v>
      </c>
    </row>
    <row r="198" spans="1:21" x14ac:dyDescent="0.25">
      <c r="A198" s="2" t="s">
        <v>235</v>
      </c>
      <c r="B198" s="1">
        <v>26</v>
      </c>
      <c r="C198" s="14">
        <f t="shared" si="18"/>
        <v>26</v>
      </c>
      <c r="D198" s="1" t="s">
        <v>16</v>
      </c>
      <c r="E198" s="1" t="s">
        <v>24</v>
      </c>
      <c r="F198" s="1" t="s">
        <v>562</v>
      </c>
      <c r="G198" s="1" t="str">
        <f t="shared" si="19"/>
        <v>Associat</v>
      </c>
      <c r="H198" s="1">
        <v>40227</v>
      </c>
      <c r="I198" s="1">
        <f t="shared" si="20"/>
        <v>40227</v>
      </c>
      <c r="J198" s="1">
        <v>4</v>
      </c>
      <c r="K198" s="14">
        <f t="shared" si="21"/>
        <v>4</v>
      </c>
      <c r="L198" s="1">
        <v>2</v>
      </c>
      <c r="M198" s="1">
        <f t="shared" si="22"/>
        <v>2</v>
      </c>
      <c r="N198" s="1">
        <v>2</v>
      </c>
      <c r="O198" s="1">
        <f t="shared" si="23"/>
        <v>2</v>
      </c>
      <c r="P198" s="1" t="s">
        <v>20</v>
      </c>
      <c r="Q198" s="1">
        <v>9</v>
      </c>
      <c r="R198" s="1" t="s">
        <v>20</v>
      </c>
      <c r="S198" s="1" t="s">
        <v>30</v>
      </c>
      <c r="T198" s="1">
        <v>23</v>
      </c>
      <c r="U198" s="3" t="s">
        <v>22</v>
      </c>
    </row>
    <row r="199" spans="1:21" x14ac:dyDescent="0.25">
      <c r="A199" s="2" t="s">
        <v>236</v>
      </c>
      <c r="B199" s="1">
        <v>31</v>
      </c>
      <c r="C199" s="14">
        <f t="shared" si="18"/>
        <v>31</v>
      </c>
      <c r="D199" s="1" t="s">
        <v>28</v>
      </c>
      <c r="E199" s="1" t="s">
        <v>29</v>
      </c>
      <c r="F199" s="1" t="s">
        <v>33</v>
      </c>
      <c r="G199" s="1" t="str">
        <f t="shared" si="19"/>
        <v>Engineer</v>
      </c>
      <c r="H199" s="1">
        <v>57289</v>
      </c>
      <c r="I199" s="1">
        <f t="shared" si="20"/>
        <v>57289</v>
      </c>
      <c r="J199" s="1">
        <v>4</v>
      </c>
      <c r="K199" s="14">
        <f t="shared" si="21"/>
        <v>4</v>
      </c>
      <c r="L199" s="1">
        <v>1</v>
      </c>
      <c r="M199" s="1">
        <f t="shared" si="22"/>
        <v>1</v>
      </c>
      <c r="N199" s="1">
        <v>3</v>
      </c>
      <c r="O199" s="1">
        <f t="shared" si="23"/>
        <v>3</v>
      </c>
      <c r="P199" s="1" t="s">
        <v>20</v>
      </c>
      <c r="Q199" s="1">
        <v>7</v>
      </c>
      <c r="R199" s="1" t="s">
        <v>20</v>
      </c>
      <c r="S199" s="1" t="s">
        <v>26</v>
      </c>
      <c r="T199" s="1">
        <v>30</v>
      </c>
      <c r="U199" s="3" t="s">
        <v>42</v>
      </c>
    </row>
    <row r="200" spans="1:21" x14ac:dyDescent="0.25">
      <c r="A200" s="2" t="s">
        <v>237</v>
      </c>
      <c r="B200" s="1">
        <v>27</v>
      </c>
      <c r="C200" s="14">
        <f t="shared" si="18"/>
        <v>27</v>
      </c>
      <c r="D200" s="1" t="s">
        <v>16</v>
      </c>
      <c r="E200" s="1" t="s">
        <v>29</v>
      </c>
      <c r="F200" s="1" t="s">
        <v>35</v>
      </c>
      <c r="G200" s="1" t="str">
        <f t="shared" si="19"/>
        <v>Manager</v>
      </c>
      <c r="H200" s="1"/>
      <c r="I200" s="1">
        <f t="shared" si="20"/>
        <v>68925</v>
      </c>
      <c r="J200" s="1">
        <v>3</v>
      </c>
      <c r="K200" s="14">
        <f t="shared" si="21"/>
        <v>3</v>
      </c>
      <c r="L200" s="1">
        <v>5</v>
      </c>
      <c r="M200" s="1">
        <f t="shared" si="22"/>
        <v>5</v>
      </c>
      <c r="N200" s="1">
        <v>4</v>
      </c>
      <c r="O200" s="1">
        <f t="shared" si="23"/>
        <v>4</v>
      </c>
      <c r="P200" s="1" t="s">
        <v>20</v>
      </c>
      <c r="Q200" s="1">
        <v>14</v>
      </c>
      <c r="R200" s="1" t="s">
        <v>20</v>
      </c>
      <c r="S200" s="1" t="s">
        <v>30</v>
      </c>
      <c r="T200" s="1">
        <v>22</v>
      </c>
      <c r="U200" s="3" t="s">
        <v>36</v>
      </c>
    </row>
    <row r="201" spans="1:21" x14ac:dyDescent="0.25">
      <c r="A201" s="2" t="s">
        <v>238</v>
      </c>
      <c r="B201" s="1">
        <v>41</v>
      </c>
      <c r="C201" s="14">
        <f t="shared" si="18"/>
        <v>41</v>
      </c>
      <c r="D201" s="1" t="s">
        <v>16</v>
      </c>
      <c r="E201" s="1" t="s">
        <v>49</v>
      </c>
      <c r="F201" s="1" t="s">
        <v>18</v>
      </c>
      <c r="G201" s="1" t="str">
        <f t="shared" si="19"/>
        <v>Analyst</v>
      </c>
      <c r="H201" s="1">
        <v>41283</v>
      </c>
      <c r="I201" s="1">
        <f t="shared" si="20"/>
        <v>41283</v>
      </c>
      <c r="J201" s="1">
        <v>4</v>
      </c>
      <c r="K201" s="14">
        <f t="shared" si="21"/>
        <v>4</v>
      </c>
      <c r="L201" s="1">
        <v>3</v>
      </c>
      <c r="M201" s="1">
        <f t="shared" si="22"/>
        <v>3</v>
      </c>
      <c r="N201" s="1">
        <v>3</v>
      </c>
      <c r="O201" s="1">
        <f t="shared" si="23"/>
        <v>3</v>
      </c>
      <c r="P201" s="1" t="s">
        <v>20</v>
      </c>
      <c r="Q201" s="1">
        <v>18</v>
      </c>
      <c r="R201" s="1" t="s">
        <v>19</v>
      </c>
      <c r="S201" s="1" t="s">
        <v>30</v>
      </c>
      <c r="T201" s="1">
        <v>53</v>
      </c>
      <c r="U201" s="3" t="s">
        <v>36</v>
      </c>
    </row>
    <row r="202" spans="1:21" x14ac:dyDescent="0.25">
      <c r="A202" s="2" t="s">
        <v>239</v>
      </c>
      <c r="B202" s="1">
        <v>46</v>
      </c>
      <c r="C202" s="14">
        <f t="shared" si="18"/>
        <v>46</v>
      </c>
      <c r="D202" s="1" t="s">
        <v>28</v>
      </c>
      <c r="E202" s="1" t="s">
        <v>40</v>
      </c>
      <c r="F202" s="1" t="s">
        <v>25</v>
      </c>
      <c r="G202" s="1" t="str">
        <f t="shared" si="19"/>
        <v>Associate</v>
      </c>
      <c r="H202" s="1">
        <v>44188</v>
      </c>
      <c r="I202" s="1">
        <f t="shared" si="20"/>
        <v>44188</v>
      </c>
      <c r="J202" s="1">
        <v>5</v>
      </c>
      <c r="K202" s="14">
        <f t="shared" si="21"/>
        <v>5</v>
      </c>
      <c r="L202" s="1">
        <v>5</v>
      </c>
      <c r="M202" s="1">
        <f t="shared" si="22"/>
        <v>5</v>
      </c>
      <c r="N202" s="1">
        <v>2</v>
      </c>
      <c r="O202" s="1">
        <f t="shared" si="23"/>
        <v>2</v>
      </c>
      <c r="P202" s="1" t="s">
        <v>19</v>
      </c>
      <c r="Q202" s="1">
        <v>14</v>
      </c>
      <c r="R202" s="1" t="s">
        <v>19</v>
      </c>
      <c r="S202" s="1" t="s">
        <v>30</v>
      </c>
      <c r="T202" s="1">
        <v>42</v>
      </c>
      <c r="U202" s="3" t="s">
        <v>22</v>
      </c>
    </row>
    <row r="203" spans="1:21" x14ac:dyDescent="0.25">
      <c r="A203" s="2" t="s">
        <v>240</v>
      </c>
      <c r="B203" s="1">
        <v>47</v>
      </c>
      <c r="C203" s="14">
        <f t="shared" si="18"/>
        <v>47</v>
      </c>
      <c r="D203" s="1" t="s">
        <v>28</v>
      </c>
      <c r="E203" s="1" t="s">
        <v>51</v>
      </c>
      <c r="F203" s="1" t="s">
        <v>38</v>
      </c>
      <c r="G203" s="1" t="str">
        <f t="shared" si="19"/>
        <v>Lead</v>
      </c>
      <c r="H203" s="1">
        <v>57692</v>
      </c>
      <c r="I203" s="1">
        <f t="shared" si="20"/>
        <v>57692</v>
      </c>
      <c r="J203" s="1">
        <v>2</v>
      </c>
      <c r="K203" s="14">
        <f t="shared" si="21"/>
        <v>2</v>
      </c>
      <c r="L203" s="1"/>
      <c r="M203" s="1">
        <f t="shared" si="22"/>
        <v>3</v>
      </c>
      <c r="N203" s="1">
        <v>2</v>
      </c>
      <c r="O203" s="1">
        <f t="shared" si="23"/>
        <v>2</v>
      </c>
      <c r="P203" s="1" t="s">
        <v>20</v>
      </c>
      <c r="Q203" s="1">
        <v>12</v>
      </c>
      <c r="R203" s="1" t="s">
        <v>19</v>
      </c>
      <c r="S203" s="1" t="s">
        <v>30</v>
      </c>
      <c r="T203" s="1">
        <v>66</v>
      </c>
      <c r="U203" s="3" t="s">
        <v>31</v>
      </c>
    </row>
    <row r="204" spans="1:21" x14ac:dyDescent="0.25">
      <c r="A204" s="2" t="s">
        <v>241</v>
      </c>
      <c r="B204" s="1">
        <v>46</v>
      </c>
      <c r="C204" s="14">
        <f t="shared" si="18"/>
        <v>46</v>
      </c>
      <c r="D204" s="1" t="s">
        <v>28</v>
      </c>
      <c r="E204" s="1" t="s">
        <v>24</v>
      </c>
      <c r="F204" s="1" t="s">
        <v>35</v>
      </c>
      <c r="G204" s="1" t="str">
        <f t="shared" si="19"/>
        <v>Manager</v>
      </c>
      <c r="H204" s="1">
        <v>65124</v>
      </c>
      <c r="I204" s="1">
        <f t="shared" si="20"/>
        <v>65124</v>
      </c>
      <c r="J204" s="1">
        <v>5</v>
      </c>
      <c r="K204" s="14">
        <f t="shared" si="21"/>
        <v>5</v>
      </c>
      <c r="L204" s="1">
        <v>5</v>
      </c>
      <c r="M204" s="1">
        <f t="shared" si="22"/>
        <v>5</v>
      </c>
      <c r="N204" s="1">
        <v>1</v>
      </c>
      <c r="O204" s="1">
        <f t="shared" si="23"/>
        <v>1</v>
      </c>
      <c r="P204" s="1" t="s">
        <v>19</v>
      </c>
      <c r="Q204" s="1">
        <v>7</v>
      </c>
      <c r="R204" s="1" t="s">
        <v>20</v>
      </c>
      <c r="S204" s="1" t="s">
        <v>21</v>
      </c>
      <c r="T204" s="1">
        <v>10</v>
      </c>
      <c r="U204" s="3" t="s">
        <v>31</v>
      </c>
    </row>
    <row r="205" spans="1:21" x14ac:dyDescent="0.25">
      <c r="A205" s="2" t="s">
        <v>242</v>
      </c>
      <c r="B205" s="1">
        <v>46</v>
      </c>
      <c r="C205" s="14">
        <f t="shared" si="18"/>
        <v>46</v>
      </c>
      <c r="D205" s="1" t="s">
        <v>28</v>
      </c>
      <c r="E205" s="1" t="s">
        <v>49</v>
      </c>
      <c r="F205" s="1" t="s">
        <v>35</v>
      </c>
      <c r="G205" s="1" t="str">
        <f t="shared" si="19"/>
        <v>Manager</v>
      </c>
      <c r="H205" s="1">
        <v>19382</v>
      </c>
      <c r="I205" s="1">
        <f t="shared" si="20"/>
        <v>19382</v>
      </c>
      <c r="J205" s="1">
        <v>1</v>
      </c>
      <c r="K205" s="14">
        <f t="shared" si="21"/>
        <v>1</v>
      </c>
      <c r="L205" s="1">
        <v>3</v>
      </c>
      <c r="M205" s="1">
        <f t="shared" si="22"/>
        <v>3</v>
      </c>
      <c r="N205" s="1">
        <v>2</v>
      </c>
      <c r="O205" s="1">
        <f t="shared" si="23"/>
        <v>2</v>
      </c>
      <c r="P205" s="1" t="s">
        <v>19</v>
      </c>
      <c r="Q205" s="1">
        <v>14</v>
      </c>
      <c r="R205" s="1" t="s">
        <v>20</v>
      </c>
      <c r="S205" s="1" t="s">
        <v>30</v>
      </c>
      <c r="T205" s="1">
        <v>64</v>
      </c>
      <c r="U205" s="3" t="s">
        <v>31</v>
      </c>
    </row>
    <row r="206" spans="1:21" x14ac:dyDescent="0.25">
      <c r="A206" s="2" t="s">
        <v>243</v>
      </c>
      <c r="B206" s="1">
        <v>53</v>
      </c>
      <c r="C206" s="14">
        <f t="shared" si="18"/>
        <v>53</v>
      </c>
      <c r="D206" s="1" t="s">
        <v>16</v>
      </c>
      <c r="E206" s="1" t="s">
        <v>29</v>
      </c>
      <c r="F206" s="1" t="s">
        <v>35</v>
      </c>
      <c r="G206" s="1" t="str">
        <f t="shared" si="19"/>
        <v>Manager</v>
      </c>
      <c r="H206" s="1">
        <v>81277</v>
      </c>
      <c r="I206" s="1">
        <f t="shared" si="20"/>
        <v>81277</v>
      </c>
      <c r="J206" s="1">
        <v>1</v>
      </c>
      <c r="K206" s="14">
        <f t="shared" si="21"/>
        <v>1</v>
      </c>
      <c r="L206" s="1">
        <v>3</v>
      </c>
      <c r="M206" s="1">
        <f t="shared" si="22"/>
        <v>3</v>
      </c>
      <c r="N206" s="1">
        <v>4</v>
      </c>
      <c r="O206" s="1">
        <f t="shared" si="23"/>
        <v>4</v>
      </c>
      <c r="P206" s="1" t="s">
        <v>19</v>
      </c>
      <c r="Q206" s="1">
        <v>3</v>
      </c>
      <c r="R206" s="1" t="s">
        <v>19</v>
      </c>
      <c r="S206" s="1" t="s">
        <v>30</v>
      </c>
      <c r="T206" s="1">
        <v>44</v>
      </c>
      <c r="U206" s="3" t="s">
        <v>36</v>
      </c>
    </row>
    <row r="207" spans="1:21" x14ac:dyDescent="0.25">
      <c r="A207" s="2" t="s">
        <v>244</v>
      </c>
      <c r="B207" s="1">
        <v>50</v>
      </c>
      <c r="C207" s="14">
        <f t="shared" si="18"/>
        <v>50</v>
      </c>
      <c r="D207" s="1" t="s">
        <v>16</v>
      </c>
      <c r="E207" s="1" t="s">
        <v>24</v>
      </c>
      <c r="F207" s="1" t="s">
        <v>33</v>
      </c>
      <c r="G207" s="1" t="str">
        <f t="shared" si="19"/>
        <v>Engineer</v>
      </c>
      <c r="H207" s="1">
        <v>63652</v>
      </c>
      <c r="I207" s="1">
        <f t="shared" si="20"/>
        <v>63652</v>
      </c>
      <c r="J207" s="1">
        <v>4</v>
      </c>
      <c r="K207" s="14">
        <f t="shared" si="21"/>
        <v>4</v>
      </c>
      <c r="L207" s="1">
        <v>1</v>
      </c>
      <c r="M207" s="1">
        <f t="shared" si="22"/>
        <v>1</v>
      </c>
      <c r="N207" s="1">
        <v>4</v>
      </c>
      <c r="O207" s="1">
        <f t="shared" si="23"/>
        <v>4</v>
      </c>
      <c r="P207" s="1" t="s">
        <v>20</v>
      </c>
      <c r="Q207" s="1">
        <v>10</v>
      </c>
      <c r="R207" s="1" t="s">
        <v>19</v>
      </c>
      <c r="S207" s="1" t="s">
        <v>30</v>
      </c>
      <c r="T207" s="1">
        <v>10</v>
      </c>
      <c r="U207" s="3" t="s">
        <v>22</v>
      </c>
    </row>
    <row r="208" spans="1:21" x14ac:dyDescent="0.25">
      <c r="A208" s="2" t="s">
        <v>245</v>
      </c>
      <c r="B208" s="1">
        <v>22</v>
      </c>
      <c r="C208" s="14">
        <f t="shared" si="18"/>
        <v>22</v>
      </c>
      <c r="D208" s="1" t="s">
        <v>28</v>
      </c>
      <c r="E208" s="1" t="s">
        <v>17</v>
      </c>
      <c r="F208" s="1" t="s">
        <v>35</v>
      </c>
      <c r="G208" s="1" t="str">
        <f t="shared" si="19"/>
        <v>Manager</v>
      </c>
      <c r="H208" s="1">
        <v>106754</v>
      </c>
      <c r="I208" s="1">
        <f t="shared" si="20"/>
        <v>106754</v>
      </c>
      <c r="J208" s="1">
        <v>2</v>
      </c>
      <c r="K208" s="14">
        <f t="shared" si="21"/>
        <v>2</v>
      </c>
      <c r="L208" s="1">
        <v>2</v>
      </c>
      <c r="M208" s="1">
        <f t="shared" si="22"/>
        <v>2</v>
      </c>
      <c r="N208" s="1">
        <v>5</v>
      </c>
      <c r="O208" s="1">
        <f t="shared" si="23"/>
        <v>5</v>
      </c>
      <c r="P208" s="1" t="s">
        <v>19</v>
      </c>
      <c r="Q208" s="1">
        <v>17</v>
      </c>
      <c r="R208" s="1" t="s">
        <v>19</v>
      </c>
      <c r="S208" s="1" t="s">
        <v>30</v>
      </c>
      <c r="T208" s="1">
        <v>76</v>
      </c>
      <c r="U208" s="3" t="s">
        <v>42</v>
      </c>
    </row>
    <row r="209" spans="1:21" x14ac:dyDescent="0.25">
      <c r="A209" s="2" t="s">
        <v>246</v>
      </c>
      <c r="B209" s="1">
        <v>50</v>
      </c>
      <c r="C209" s="14">
        <f t="shared" si="18"/>
        <v>50</v>
      </c>
      <c r="D209" s="1" t="s">
        <v>16</v>
      </c>
      <c r="E209" s="1" t="s">
        <v>49</v>
      </c>
      <c r="F209" s="1" t="s">
        <v>38</v>
      </c>
      <c r="G209" s="1" t="str">
        <f t="shared" si="19"/>
        <v>Lead</v>
      </c>
      <c r="H209" s="1">
        <v>42176</v>
      </c>
      <c r="I209" s="1">
        <f t="shared" si="20"/>
        <v>42176</v>
      </c>
      <c r="J209" s="1">
        <v>2</v>
      </c>
      <c r="K209" s="14">
        <f t="shared" si="21"/>
        <v>2</v>
      </c>
      <c r="L209" s="1">
        <v>4</v>
      </c>
      <c r="M209" s="1">
        <f t="shared" si="22"/>
        <v>4</v>
      </c>
      <c r="N209" s="1">
        <v>4</v>
      </c>
      <c r="O209" s="1">
        <f t="shared" si="23"/>
        <v>4</v>
      </c>
      <c r="P209" s="1" t="s">
        <v>19</v>
      </c>
      <c r="Q209" s="1">
        <v>19</v>
      </c>
      <c r="R209" s="1" t="s">
        <v>19</v>
      </c>
      <c r="S209" s="1" t="s">
        <v>30</v>
      </c>
      <c r="T209" s="1">
        <v>80</v>
      </c>
      <c r="U209" s="3" t="s">
        <v>42</v>
      </c>
    </row>
    <row r="210" spans="1:21" x14ac:dyDescent="0.25">
      <c r="A210" s="2" t="s">
        <v>247</v>
      </c>
      <c r="B210" s="1">
        <v>45</v>
      </c>
      <c r="C210" s="14">
        <f t="shared" si="18"/>
        <v>45</v>
      </c>
      <c r="D210" s="1" t="s">
        <v>16</v>
      </c>
      <c r="E210" s="1" t="s">
        <v>17</v>
      </c>
      <c r="F210" s="1" t="s">
        <v>41</v>
      </c>
      <c r="G210" s="1" t="str">
        <f t="shared" si="19"/>
        <v>Executive</v>
      </c>
      <c r="H210" s="1">
        <v>44972</v>
      </c>
      <c r="I210" s="1">
        <f t="shared" si="20"/>
        <v>44972</v>
      </c>
      <c r="J210" s="1">
        <v>3</v>
      </c>
      <c r="K210" s="14">
        <f t="shared" si="21"/>
        <v>3</v>
      </c>
      <c r="L210" s="1">
        <v>1</v>
      </c>
      <c r="M210" s="1">
        <f t="shared" si="22"/>
        <v>1</v>
      </c>
      <c r="N210" s="1">
        <v>5</v>
      </c>
      <c r="O210" s="1">
        <f t="shared" si="23"/>
        <v>5</v>
      </c>
      <c r="P210" s="1" t="s">
        <v>19</v>
      </c>
      <c r="Q210" s="1">
        <v>17</v>
      </c>
      <c r="R210" s="1" t="s">
        <v>19</v>
      </c>
      <c r="S210" s="1" t="s">
        <v>30</v>
      </c>
      <c r="T210" s="1">
        <v>46</v>
      </c>
      <c r="U210" s="3" t="s">
        <v>44</v>
      </c>
    </row>
    <row r="211" spans="1:21" x14ac:dyDescent="0.25">
      <c r="A211" s="2" t="s">
        <v>248</v>
      </c>
      <c r="B211" s="1">
        <v>50</v>
      </c>
      <c r="C211" s="14">
        <f t="shared" si="18"/>
        <v>50</v>
      </c>
      <c r="D211" s="1" t="s">
        <v>16</v>
      </c>
      <c r="E211" s="1" t="s">
        <v>29</v>
      </c>
      <c r="F211" s="1" t="s">
        <v>38</v>
      </c>
      <c r="G211" s="1" t="str">
        <f t="shared" si="19"/>
        <v>Lead</v>
      </c>
      <c r="H211" s="1">
        <v>82157</v>
      </c>
      <c r="I211" s="1">
        <f t="shared" si="20"/>
        <v>82157</v>
      </c>
      <c r="J211" s="1">
        <v>5</v>
      </c>
      <c r="K211" s="14">
        <f t="shared" si="21"/>
        <v>5</v>
      </c>
      <c r="L211" s="1">
        <v>3</v>
      </c>
      <c r="M211" s="1">
        <f t="shared" si="22"/>
        <v>3</v>
      </c>
      <c r="N211" s="1">
        <v>5</v>
      </c>
      <c r="O211" s="1">
        <f t="shared" si="23"/>
        <v>5</v>
      </c>
      <c r="P211" s="1" t="s">
        <v>20</v>
      </c>
      <c r="Q211" s="1">
        <v>19</v>
      </c>
      <c r="R211" s="1" t="s">
        <v>20</v>
      </c>
      <c r="S211" s="1" t="s">
        <v>26</v>
      </c>
      <c r="T211" s="1">
        <v>19</v>
      </c>
      <c r="U211" s="3" t="s">
        <v>36</v>
      </c>
    </row>
    <row r="212" spans="1:21" x14ac:dyDescent="0.25">
      <c r="A212" s="2" t="s">
        <v>249</v>
      </c>
      <c r="B212" s="1"/>
      <c r="C212" s="14">
        <f t="shared" si="18"/>
        <v>39</v>
      </c>
      <c r="D212" s="1" t="s">
        <v>28</v>
      </c>
      <c r="E212" s="1" t="s">
        <v>24</v>
      </c>
      <c r="F212" s="1" t="s">
        <v>41</v>
      </c>
      <c r="G212" s="1" t="str">
        <f t="shared" si="19"/>
        <v>Executive</v>
      </c>
      <c r="H212" s="1">
        <v>106288</v>
      </c>
      <c r="I212" s="1">
        <f t="shared" si="20"/>
        <v>106288</v>
      </c>
      <c r="J212" s="1">
        <v>3</v>
      </c>
      <c r="K212" s="14">
        <f t="shared" si="21"/>
        <v>3</v>
      </c>
      <c r="L212" s="1">
        <v>5</v>
      </c>
      <c r="M212" s="1">
        <f t="shared" si="22"/>
        <v>5</v>
      </c>
      <c r="N212" s="1">
        <v>5</v>
      </c>
      <c r="O212" s="1">
        <f t="shared" si="23"/>
        <v>5</v>
      </c>
      <c r="P212" s="1" t="s">
        <v>19</v>
      </c>
      <c r="Q212" s="1">
        <v>4</v>
      </c>
      <c r="R212" s="1" t="s">
        <v>20</v>
      </c>
      <c r="S212" s="1" t="s">
        <v>21</v>
      </c>
      <c r="T212" s="1">
        <v>35</v>
      </c>
      <c r="U212" s="3" t="s">
        <v>36</v>
      </c>
    </row>
    <row r="213" spans="1:21" x14ac:dyDescent="0.25">
      <c r="A213" s="2" t="s">
        <v>250</v>
      </c>
      <c r="B213" s="1">
        <v>28</v>
      </c>
      <c r="C213" s="14">
        <f t="shared" si="18"/>
        <v>28</v>
      </c>
      <c r="D213" s="1" t="s">
        <v>16</v>
      </c>
      <c r="E213" s="1" t="s">
        <v>29</v>
      </c>
      <c r="F213" s="1" t="s">
        <v>38</v>
      </c>
      <c r="G213" s="1" t="str">
        <f t="shared" si="19"/>
        <v>Lead</v>
      </c>
      <c r="H213" s="1">
        <v>36528</v>
      </c>
      <c r="I213" s="1">
        <f t="shared" si="20"/>
        <v>36528</v>
      </c>
      <c r="J213" s="1">
        <v>5</v>
      </c>
      <c r="K213" s="14">
        <f t="shared" si="21"/>
        <v>5</v>
      </c>
      <c r="L213" s="1">
        <v>4</v>
      </c>
      <c r="M213" s="1">
        <f t="shared" si="22"/>
        <v>4</v>
      </c>
      <c r="N213" s="1">
        <v>4</v>
      </c>
      <c r="O213" s="1">
        <f t="shared" si="23"/>
        <v>4</v>
      </c>
      <c r="P213" s="1" t="s">
        <v>19</v>
      </c>
      <c r="Q213" s="1">
        <v>18</v>
      </c>
      <c r="R213" s="1" t="s">
        <v>20</v>
      </c>
      <c r="S213" s="1" t="s">
        <v>30</v>
      </c>
      <c r="T213" s="1">
        <v>28</v>
      </c>
      <c r="U213" s="3" t="s">
        <v>42</v>
      </c>
    </row>
    <row r="214" spans="1:21" x14ac:dyDescent="0.25">
      <c r="A214" s="2" t="s">
        <v>251</v>
      </c>
      <c r="B214" s="1">
        <v>55</v>
      </c>
      <c r="C214" s="14">
        <f t="shared" si="18"/>
        <v>55</v>
      </c>
      <c r="D214" s="1" t="s">
        <v>16</v>
      </c>
      <c r="E214" s="1" t="s">
        <v>24</v>
      </c>
      <c r="F214" s="1" t="s">
        <v>41</v>
      </c>
      <c r="G214" s="1" t="str">
        <f t="shared" si="19"/>
        <v>Executive</v>
      </c>
      <c r="H214" s="1">
        <v>82178</v>
      </c>
      <c r="I214" s="1">
        <f t="shared" si="20"/>
        <v>82178</v>
      </c>
      <c r="J214" s="1">
        <v>3</v>
      </c>
      <c r="K214" s="14">
        <f t="shared" si="21"/>
        <v>3</v>
      </c>
      <c r="L214" s="1">
        <v>2</v>
      </c>
      <c r="M214" s="1">
        <f t="shared" si="22"/>
        <v>2</v>
      </c>
      <c r="N214" s="1">
        <v>2</v>
      </c>
      <c r="O214" s="1">
        <f t="shared" si="23"/>
        <v>2</v>
      </c>
      <c r="P214" s="1" t="s">
        <v>20</v>
      </c>
      <c r="Q214" s="1">
        <v>14</v>
      </c>
      <c r="R214" s="1" t="s">
        <v>19</v>
      </c>
      <c r="S214" s="1" t="s">
        <v>30</v>
      </c>
      <c r="T214" s="1">
        <v>6</v>
      </c>
      <c r="U214" s="3" t="s">
        <v>42</v>
      </c>
    </row>
    <row r="215" spans="1:21" x14ac:dyDescent="0.25">
      <c r="A215" s="2" t="s">
        <v>252</v>
      </c>
      <c r="B215" s="1">
        <v>29</v>
      </c>
      <c r="C215" s="14">
        <f t="shared" si="18"/>
        <v>29</v>
      </c>
      <c r="D215" s="1" t="s">
        <v>16</v>
      </c>
      <c r="E215" s="1" t="s">
        <v>49</v>
      </c>
      <c r="F215" s="1" t="s">
        <v>25</v>
      </c>
      <c r="G215" s="1" t="str">
        <f t="shared" si="19"/>
        <v>Associate</v>
      </c>
      <c r="H215" s="1">
        <v>84248</v>
      </c>
      <c r="I215" s="1">
        <f t="shared" si="20"/>
        <v>84248</v>
      </c>
      <c r="J215" s="1">
        <v>4</v>
      </c>
      <c r="K215" s="14">
        <f t="shared" si="21"/>
        <v>4</v>
      </c>
      <c r="L215" s="1"/>
      <c r="M215" s="1">
        <f t="shared" si="22"/>
        <v>3</v>
      </c>
      <c r="N215" s="1">
        <v>4</v>
      </c>
      <c r="O215" s="1">
        <f t="shared" si="23"/>
        <v>4</v>
      </c>
      <c r="P215" s="1" t="s">
        <v>20</v>
      </c>
      <c r="Q215" s="1">
        <v>14</v>
      </c>
      <c r="R215" s="1" t="s">
        <v>20</v>
      </c>
      <c r="S215" s="1" t="s">
        <v>21</v>
      </c>
      <c r="T215" s="1">
        <v>15</v>
      </c>
      <c r="U215" s="3" t="s">
        <v>31</v>
      </c>
    </row>
    <row r="216" spans="1:21" x14ac:dyDescent="0.25">
      <c r="A216" s="2" t="s">
        <v>253</v>
      </c>
      <c r="B216" s="1">
        <v>22</v>
      </c>
      <c r="C216" s="14">
        <f t="shared" si="18"/>
        <v>22</v>
      </c>
      <c r="D216" s="1" t="s">
        <v>16</v>
      </c>
      <c r="E216" s="1" t="s">
        <v>29</v>
      </c>
      <c r="F216" s="1" t="s">
        <v>35</v>
      </c>
      <c r="G216" s="1" t="str">
        <f t="shared" si="19"/>
        <v>Manager</v>
      </c>
      <c r="H216" s="1">
        <v>54025</v>
      </c>
      <c r="I216" s="1">
        <f t="shared" si="20"/>
        <v>54025</v>
      </c>
      <c r="J216" s="1"/>
      <c r="K216" s="14">
        <f t="shared" si="21"/>
        <v>3</v>
      </c>
      <c r="L216" s="1">
        <v>5</v>
      </c>
      <c r="M216" s="1">
        <f t="shared" si="22"/>
        <v>5</v>
      </c>
      <c r="N216" s="1">
        <v>3</v>
      </c>
      <c r="O216" s="1">
        <f t="shared" si="23"/>
        <v>3</v>
      </c>
      <c r="P216" s="1" t="s">
        <v>19</v>
      </c>
      <c r="Q216" s="1">
        <v>14</v>
      </c>
      <c r="R216" s="1" t="s">
        <v>20</v>
      </c>
      <c r="S216" s="1" t="s">
        <v>26</v>
      </c>
      <c r="T216" s="1">
        <v>70</v>
      </c>
      <c r="U216" s="3" t="s">
        <v>22</v>
      </c>
    </row>
    <row r="217" spans="1:21" x14ac:dyDescent="0.25">
      <c r="A217" s="2" t="s">
        <v>254</v>
      </c>
      <c r="B217" s="1">
        <v>57</v>
      </c>
      <c r="C217" s="14">
        <f t="shared" si="18"/>
        <v>57</v>
      </c>
      <c r="D217" s="1" t="s">
        <v>16</v>
      </c>
      <c r="E217" s="1" t="s">
        <v>29</v>
      </c>
      <c r="F217" s="1" t="s">
        <v>25</v>
      </c>
      <c r="G217" s="1" t="str">
        <f t="shared" si="19"/>
        <v>Associate</v>
      </c>
      <c r="H217" s="1">
        <v>66085</v>
      </c>
      <c r="I217" s="1">
        <f t="shared" si="20"/>
        <v>66085</v>
      </c>
      <c r="J217" s="1">
        <v>5</v>
      </c>
      <c r="K217" s="14">
        <f t="shared" si="21"/>
        <v>5</v>
      </c>
      <c r="L217" s="1">
        <v>1</v>
      </c>
      <c r="M217" s="1">
        <f t="shared" si="22"/>
        <v>1</v>
      </c>
      <c r="N217" s="1">
        <v>4</v>
      </c>
      <c r="O217" s="1">
        <f t="shared" si="23"/>
        <v>4</v>
      </c>
      <c r="P217" s="1" t="s">
        <v>19</v>
      </c>
      <c r="Q217" s="1">
        <v>13</v>
      </c>
      <c r="R217" s="1" t="s">
        <v>19</v>
      </c>
      <c r="S217" s="1" t="s">
        <v>26</v>
      </c>
      <c r="T217" s="1">
        <v>36</v>
      </c>
      <c r="U217" s="3" t="s">
        <v>36</v>
      </c>
    </row>
    <row r="218" spans="1:21" x14ac:dyDescent="0.25">
      <c r="A218" s="2" t="s">
        <v>255</v>
      </c>
      <c r="B218" s="1">
        <v>23</v>
      </c>
      <c r="C218" s="14">
        <f t="shared" si="18"/>
        <v>23</v>
      </c>
      <c r="D218" s="1" t="s">
        <v>28</v>
      </c>
      <c r="E218" s="1" t="s">
        <v>29</v>
      </c>
      <c r="F218" s="1" t="s">
        <v>18</v>
      </c>
      <c r="G218" s="1" t="str">
        <f t="shared" si="19"/>
        <v>Analyst</v>
      </c>
      <c r="H218" s="1">
        <v>29401</v>
      </c>
      <c r="I218" s="1">
        <f t="shared" si="20"/>
        <v>29401</v>
      </c>
      <c r="J218" s="1">
        <v>4</v>
      </c>
      <c r="K218" s="14">
        <f t="shared" si="21"/>
        <v>4</v>
      </c>
      <c r="L218" s="1">
        <v>1</v>
      </c>
      <c r="M218" s="1">
        <f t="shared" si="22"/>
        <v>1</v>
      </c>
      <c r="N218" s="1">
        <v>2</v>
      </c>
      <c r="O218" s="1">
        <f t="shared" si="23"/>
        <v>2</v>
      </c>
      <c r="P218" s="1" t="s">
        <v>19</v>
      </c>
      <c r="Q218" s="1">
        <v>18</v>
      </c>
      <c r="R218" s="1" t="s">
        <v>20</v>
      </c>
      <c r="S218" s="1" t="s">
        <v>26</v>
      </c>
      <c r="T218" s="1">
        <v>59</v>
      </c>
      <c r="U218" s="3" t="s">
        <v>44</v>
      </c>
    </row>
    <row r="219" spans="1:21" x14ac:dyDescent="0.25">
      <c r="A219" s="2" t="s">
        <v>256</v>
      </c>
      <c r="B219" s="1">
        <v>29</v>
      </c>
      <c r="C219" s="14">
        <f t="shared" si="18"/>
        <v>29</v>
      </c>
      <c r="D219" s="1" t="s">
        <v>16</v>
      </c>
      <c r="E219" s="1" t="s">
        <v>51</v>
      </c>
      <c r="F219" s="1" t="s">
        <v>35</v>
      </c>
      <c r="G219" s="1" t="str">
        <f t="shared" si="19"/>
        <v>Manager</v>
      </c>
      <c r="H219" s="1">
        <v>92720</v>
      </c>
      <c r="I219" s="1">
        <f t="shared" si="20"/>
        <v>92720</v>
      </c>
      <c r="J219" s="1">
        <v>3</v>
      </c>
      <c r="K219" s="14">
        <f t="shared" si="21"/>
        <v>3</v>
      </c>
      <c r="L219" s="1"/>
      <c r="M219" s="1">
        <f t="shared" si="22"/>
        <v>3</v>
      </c>
      <c r="N219" s="1">
        <v>3</v>
      </c>
      <c r="O219" s="1">
        <f t="shared" si="23"/>
        <v>3</v>
      </c>
      <c r="P219" s="1" t="s">
        <v>19</v>
      </c>
      <c r="Q219" s="1">
        <v>10</v>
      </c>
      <c r="R219" s="1" t="s">
        <v>20</v>
      </c>
      <c r="S219" s="1" t="s">
        <v>30</v>
      </c>
      <c r="T219" s="1">
        <v>78</v>
      </c>
      <c r="U219" s="3" t="s">
        <v>36</v>
      </c>
    </row>
    <row r="220" spans="1:21" x14ac:dyDescent="0.25">
      <c r="A220" s="2" t="s">
        <v>257</v>
      </c>
      <c r="B220" s="1">
        <v>53</v>
      </c>
      <c r="C220" s="14">
        <f t="shared" si="18"/>
        <v>53</v>
      </c>
      <c r="D220" s="1" t="s">
        <v>16</v>
      </c>
      <c r="E220" s="1" t="s">
        <v>51</v>
      </c>
      <c r="F220" s="1" t="s">
        <v>33</v>
      </c>
      <c r="G220" s="1" t="str">
        <f t="shared" si="19"/>
        <v>Engineer</v>
      </c>
      <c r="H220" s="1">
        <v>25770</v>
      </c>
      <c r="I220" s="1">
        <f t="shared" si="20"/>
        <v>25770</v>
      </c>
      <c r="J220" s="1">
        <v>3</v>
      </c>
      <c r="K220" s="14">
        <f t="shared" si="21"/>
        <v>3</v>
      </c>
      <c r="L220" s="1">
        <v>2</v>
      </c>
      <c r="M220" s="1">
        <f t="shared" si="22"/>
        <v>2</v>
      </c>
      <c r="N220" s="1">
        <v>2</v>
      </c>
      <c r="O220" s="1">
        <f t="shared" si="23"/>
        <v>2</v>
      </c>
      <c r="P220" s="1" t="s">
        <v>19</v>
      </c>
      <c r="Q220" s="1">
        <v>4</v>
      </c>
      <c r="R220" s="1" t="s">
        <v>20</v>
      </c>
      <c r="S220" s="1" t="s">
        <v>21</v>
      </c>
      <c r="T220" s="1">
        <v>55</v>
      </c>
      <c r="U220" s="3" t="s">
        <v>42</v>
      </c>
    </row>
    <row r="221" spans="1:21" x14ac:dyDescent="0.25">
      <c r="A221" s="2" t="s">
        <v>258</v>
      </c>
      <c r="B221" s="1">
        <v>30</v>
      </c>
      <c r="C221" s="14">
        <f t="shared" si="18"/>
        <v>30</v>
      </c>
      <c r="D221" s="1" t="s">
        <v>28</v>
      </c>
      <c r="E221" s="1" t="s">
        <v>17</v>
      </c>
      <c r="F221" s="1" t="s">
        <v>33</v>
      </c>
      <c r="G221" s="1" t="str">
        <f t="shared" si="19"/>
        <v>Engineer</v>
      </c>
      <c r="H221" s="1">
        <v>67174</v>
      </c>
      <c r="I221" s="1">
        <f t="shared" si="20"/>
        <v>67174</v>
      </c>
      <c r="J221" s="1">
        <v>4</v>
      </c>
      <c r="K221" s="14">
        <f t="shared" si="21"/>
        <v>4</v>
      </c>
      <c r="L221" s="1">
        <v>1</v>
      </c>
      <c r="M221" s="1">
        <f t="shared" si="22"/>
        <v>1</v>
      </c>
      <c r="N221" s="1"/>
      <c r="O221" s="1">
        <f t="shared" si="23"/>
        <v>3</v>
      </c>
      <c r="P221" s="1" t="s">
        <v>20</v>
      </c>
      <c r="Q221" s="1">
        <v>16</v>
      </c>
      <c r="R221" s="1" t="s">
        <v>20</v>
      </c>
      <c r="S221" s="1" t="s">
        <v>26</v>
      </c>
      <c r="T221" s="1">
        <v>52</v>
      </c>
      <c r="U221" s="3" t="s">
        <v>42</v>
      </c>
    </row>
    <row r="222" spans="1:21" x14ac:dyDescent="0.25">
      <c r="A222" s="2" t="s">
        <v>259</v>
      </c>
      <c r="B222" s="1">
        <v>52</v>
      </c>
      <c r="C222" s="14">
        <f t="shared" si="18"/>
        <v>52</v>
      </c>
      <c r="D222" s="1" t="s">
        <v>28</v>
      </c>
      <c r="E222" s="1" t="s">
        <v>24</v>
      </c>
      <c r="F222" s="1" t="s">
        <v>35</v>
      </c>
      <c r="G222" s="1" t="str">
        <f t="shared" si="19"/>
        <v>Manager</v>
      </c>
      <c r="H222" s="1">
        <v>119467</v>
      </c>
      <c r="I222" s="1">
        <f t="shared" si="20"/>
        <v>119467</v>
      </c>
      <c r="J222" s="1">
        <v>1</v>
      </c>
      <c r="K222" s="14">
        <f t="shared" si="21"/>
        <v>1</v>
      </c>
      <c r="L222" s="1">
        <v>4</v>
      </c>
      <c r="M222" s="1">
        <f t="shared" si="22"/>
        <v>4</v>
      </c>
      <c r="N222" s="1">
        <v>3</v>
      </c>
      <c r="O222" s="1">
        <f t="shared" si="23"/>
        <v>3</v>
      </c>
      <c r="P222" s="1" t="s">
        <v>19</v>
      </c>
      <c r="Q222" s="1">
        <v>17</v>
      </c>
      <c r="R222" s="1" t="s">
        <v>20</v>
      </c>
      <c r="S222" s="1" t="s">
        <v>21</v>
      </c>
      <c r="T222" s="1">
        <v>59</v>
      </c>
      <c r="U222" s="3" t="s">
        <v>44</v>
      </c>
    </row>
    <row r="223" spans="1:21" x14ac:dyDescent="0.25">
      <c r="A223" s="2" t="s">
        <v>260</v>
      </c>
      <c r="B223" s="1">
        <v>52</v>
      </c>
      <c r="C223" s="14">
        <f t="shared" si="18"/>
        <v>52</v>
      </c>
      <c r="D223" s="1" t="s">
        <v>28</v>
      </c>
      <c r="E223" s="1" t="s">
        <v>29</v>
      </c>
      <c r="F223" s="1" t="s">
        <v>18</v>
      </c>
      <c r="G223" s="1" t="str">
        <f t="shared" si="19"/>
        <v>Analyst</v>
      </c>
      <c r="H223" s="1">
        <v>62270</v>
      </c>
      <c r="I223" s="1">
        <f t="shared" si="20"/>
        <v>62270</v>
      </c>
      <c r="J223" s="1">
        <v>5</v>
      </c>
      <c r="K223" s="14">
        <f t="shared" si="21"/>
        <v>5</v>
      </c>
      <c r="L223" s="1">
        <v>5</v>
      </c>
      <c r="M223" s="1">
        <f t="shared" si="22"/>
        <v>5</v>
      </c>
      <c r="N223" s="1">
        <v>2</v>
      </c>
      <c r="O223" s="1">
        <f t="shared" si="23"/>
        <v>2</v>
      </c>
      <c r="P223" s="1" t="s">
        <v>20</v>
      </c>
      <c r="Q223" s="1">
        <v>10</v>
      </c>
      <c r="R223" s="1" t="s">
        <v>19</v>
      </c>
      <c r="S223" s="1" t="s">
        <v>21</v>
      </c>
      <c r="T223" s="1">
        <v>17</v>
      </c>
      <c r="U223" s="3" t="s">
        <v>42</v>
      </c>
    </row>
    <row r="224" spans="1:21" x14ac:dyDescent="0.25">
      <c r="A224" s="2" t="s">
        <v>261</v>
      </c>
      <c r="B224" s="1">
        <v>22</v>
      </c>
      <c r="C224" s="14">
        <f t="shared" si="18"/>
        <v>22</v>
      </c>
      <c r="D224" s="1" t="s">
        <v>16</v>
      </c>
      <c r="E224" s="1" t="s">
        <v>51</v>
      </c>
      <c r="F224" s="1" t="s">
        <v>33</v>
      </c>
      <c r="G224" s="1" t="str">
        <f t="shared" si="19"/>
        <v>Engineer</v>
      </c>
      <c r="H224" s="1">
        <v>77836</v>
      </c>
      <c r="I224" s="1">
        <f t="shared" si="20"/>
        <v>77836</v>
      </c>
      <c r="J224" s="1">
        <v>1</v>
      </c>
      <c r="K224" s="14">
        <f t="shared" si="21"/>
        <v>1</v>
      </c>
      <c r="L224" s="1">
        <v>4</v>
      </c>
      <c r="M224" s="1">
        <f t="shared" si="22"/>
        <v>4</v>
      </c>
      <c r="N224" s="1"/>
      <c r="O224" s="1">
        <f t="shared" si="23"/>
        <v>3</v>
      </c>
      <c r="P224" s="1" t="s">
        <v>19</v>
      </c>
      <c r="Q224" s="1">
        <v>20</v>
      </c>
      <c r="R224" s="1" t="s">
        <v>20</v>
      </c>
      <c r="S224" s="1" t="s">
        <v>21</v>
      </c>
      <c r="T224" s="1">
        <v>40</v>
      </c>
      <c r="U224" s="3" t="s">
        <v>22</v>
      </c>
    </row>
    <row r="225" spans="1:21" x14ac:dyDescent="0.25">
      <c r="A225" s="2" t="s">
        <v>262</v>
      </c>
      <c r="B225" s="1">
        <v>44</v>
      </c>
      <c r="C225" s="14">
        <f t="shared" si="18"/>
        <v>44</v>
      </c>
      <c r="D225" s="1" t="s">
        <v>28</v>
      </c>
      <c r="E225" s="1" t="s">
        <v>40</v>
      </c>
      <c r="F225" s="1" t="s">
        <v>18</v>
      </c>
      <c r="G225" s="1" t="str">
        <f t="shared" si="19"/>
        <v>Analyst</v>
      </c>
      <c r="H225" s="1"/>
      <c r="I225" s="1">
        <f t="shared" si="20"/>
        <v>68925</v>
      </c>
      <c r="J225" s="1">
        <v>2</v>
      </c>
      <c r="K225" s="14">
        <f t="shared" si="21"/>
        <v>2</v>
      </c>
      <c r="L225" s="1">
        <v>1</v>
      </c>
      <c r="M225" s="1">
        <f t="shared" si="22"/>
        <v>1</v>
      </c>
      <c r="N225" s="1">
        <v>4</v>
      </c>
      <c r="O225" s="1">
        <f t="shared" si="23"/>
        <v>4</v>
      </c>
      <c r="P225" s="1" t="s">
        <v>20</v>
      </c>
      <c r="Q225" s="1">
        <v>7</v>
      </c>
      <c r="R225" s="1" t="s">
        <v>20</v>
      </c>
      <c r="S225" s="1" t="s">
        <v>26</v>
      </c>
      <c r="T225" s="1">
        <v>16</v>
      </c>
      <c r="U225" s="3" t="s">
        <v>22</v>
      </c>
    </row>
    <row r="226" spans="1:21" x14ac:dyDescent="0.25">
      <c r="A226" s="2" t="s">
        <v>263</v>
      </c>
      <c r="B226" s="1">
        <v>21</v>
      </c>
      <c r="C226" s="14">
        <f t="shared" si="18"/>
        <v>21</v>
      </c>
      <c r="D226" s="1" t="s">
        <v>16</v>
      </c>
      <c r="E226" s="1" t="s">
        <v>49</v>
      </c>
      <c r="F226" s="1" t="s">
        <v>35</v>
      </c>
      <c r="G226" s="1" t="str">
        <f t="shared" si="19"/>
        <v>Manager</v>
      </c>
      <c r="H226" s="1">
        <v>35393</v>
      </c>
      <c r="I226" s="1">
        <f t="shared" si="20"/>
        <v>35393</v>
      </c>
      <c r="J226" s="1">
        <v>5</v>
      </c>
      <c r="K226" s="14">
        <f t="shared" si="21"/>
        <v>5</v>
      </c>
      <c r="L226" s="1">
        <v>2</v>
      </c>
      <c r="M226" s="1">
        <f t="shared" si="22"/>
        <v>2</v>
      </c>
      <c r="N226" s="1">
        <v>5</v>
      </c>
      <c r="O226" s="1">
        <f t="shared" si="23"/>
        <v>5</v>
      </c>
      <c r="P226" s="1" t="s">
        <v>20</v>
      </c>
      <c r="Q226" s="1">
        <v>0</v>
      </c>
      <c r="R226" s="1" t="s">
        <v>19</v>
      </c>
      <c r="S226" s="1" t="s">
        <v>26</v>
      </c>
      <c r="T226" s="1">
        <v>48</v>
      </c>
      <c r="U226" s="3" t="s">
        <v>22</v>
      </c>
    </row>
    <row r="227" spans="1:21" x14ac:dyDescent="0.25">
      <c r="A227" s="2" t="s">
        <v>264</v>
      </c>
      <c r="B227" s="1">
        <v>48</v>
      </c>
      <c r="C227" s="14">
        <f t="shared" si="18"/>
        <v>48</v>
      </c>
      <c r="D227" s="1" t="s">
        <v>16</v>
      </c>
      <c r="E227" s="1" t="s">
        <v>49</v>
      </c>
      <c r="F227" s="1" t="s">
        <v>35</v>
      </c>
      <c r="G227" s="1" t="str">
        <f t="shared" si="19"/>
        <v>Manager</v>
      </c>
      <c r="H227" s="1">
        <v>48008</v>
      </c>
      <c r="I227" s="1">
        <f t="shared" si="20"/>
        <v>48008</v>
      </c>
      <c r="J227" s="1">
        <v>4</v>
      </c>
      <c r="K227" s="14">
        <f t="shared" si="21"/>
        <v>4</v>
      </c>
      <c r="L227" s="1">
        <v>1</v>
      </c>
      <c r="M227" s="1">
        <f t="shared" si="22"/>
        <v>1</v>
      </c>
      <c r="N227" s="1">
        <v>1</v>
      </c>
      <c r="O227" s="1">
        <f t="shared" si="23"/>
        <v>1</v>
      </c>
      <c r="P227" s="1" t="s">
        <v>19</v>
      </c>
      <c r="Q227" s="1">
        <v>10</v>
      </c>
      <c r="R227" s="1" t="s">
        <v>20</v>
      </c>
      <c r="S227" s="1" t="s">
        <v>30</v>
      </c>
      <c r="T227" s="1">
        <v>22</v>
      </c>
      <c r="U227" s="3" t="s">
        <v>42</v>
      </c>
    </row>
    <row r="228" spans="1:21" x14ac:dyDescent="0.25">
      <c r="A228" s="2" t="s">
        <v>265</v>
      </c>
      <c r="B228" s="1">
        <v>29</v>
      </c>
      <c r="C228" s="14">
        <f t="shared" si="18"/>
        <v>29</v>
      </c>
      <c r="D228" s="1" t="s">
        <v>16</v>
      </c>
      <c r="E228" s="1" t="s">
        <v>40</v>
      </c>
      <c r="F228" s="1" t="s">
        <v>25</v>
      </c>
      <c r="G228" s="1" t="str">
        <f t="shared" si="19"/>
        <v>Associate</v>
      </c>
      <c r="H228" s="1">
        <v>91831</v>
      </c>
      <c r="I228" s="1">
        <f t="shared" si="20"/>
        <v>91831</v>
      </c>
      <c r="J228" s="1">
        <v>1</v>
      </c>
      <c r="K228" s="14">
        <f t="shared" si="21"/>
        <v>1</v>
      </c>
      <c r="L228" s="1">
        <v>5</v>
      </c>
      <c r="M228" s="1">
        <f t="shared" si="22"/>
        <v>5</v>
      </c>
      <c r="N228" s="1">
        <v>2</v>
      </c>
      <c r="O228" s="1">
        <f t="shared" si="23"/>
        <v>2</v>
      </c>
      <c r="P228" s="1" t="s">
        <v>20</v>
      </c>
      <c r="Q228" s="1">
        <v>11</v>
      </c>
      <c r="R228" s="1" t="s">
        <v>19</v>
      </c>
      <c r="S228" s="1" t="s">
        <v>26</v>
      </c>
      <c r="T228" s="1">
        <v>24</v>
      </c>
      <c r="U228" s="3" t="s">
        <v>42</v>
      </c>
    </row>
    <row r="229" spans="1:21" x14ac:dyDescent="0.25">
      <c r="A229" s="2" t="s">
        <v>266</v>
      </c>
      <c r="B229" s="1">
        <v>49</v>
      </c>
      <c r="C229" s="14">
        <f t="shared" si="18"/>
        <v>49</v>
      </c>
      <c r="D229" s="1" t="s">
        <v>16</v>
      </c>
      <c r="E229" s="1" t="s">
        <v>40</v>
      </c>
      <c r="F229" s="1" t="s">
        <v>35</v>
      </c>
      <c r="G229" s="1" t="str">
        <f t="shared" si="19"/>
        <v>Manager</v>
      </c>
      <c r="H229" s="1">
        <v>36351</v>
      </c>
      <c r="I229" s="1">
        <f t="shared" si="20"/>
        <v>36351</v>
      </c>
      <c r="J229" s="1">
        <v>1</v>
      </c>
      <c r="K229" s="14">
        <f t="shared" si="21"/>
        <v>1</v>
      </c>
      <c r="L229" s="1">
        <v>5</v>
      </c>
      <c r="M229" s="1">
        <f t="shared" si="22"/>
        <v>5</v>
      </c>
      <c r="N229" s="1">
        <v>4</v>
      </c>
      <c r="O229" s="1">
        <f t="shared" si="23"/>
        <v>4</v>
      </c>
      <c r="P229" s="1" t="s">
        <v>20</v>
      </c>
      <c r="Q229" s="1">
        <v>13</v>
      </c>
      <c r="R229" s="1" t="s">
        <v>20</v>
      </c>
      <c r="S229" s="1" t="s">
        <v>21</v>
      </c>
      <c r="T229" s="1">
        <v>36</v>
      </c>
      <c r="U229" s="3" t="s">
        <v>36</v>
      </c>
    </row>
    <row r="230" spans="1:21" x14ac:dyDescent="0.25">
      <c r="A230" s="2" t="s">
        <v>267</v>
      </c>
      <c r="B230" s="1">
        <v>26</v>
      </c>
      <c r="C230" s="14">
        <f t="shared" si="18"/>
        <v>26</v>
      </c>
      <c r="D230" s="1" t="s">
        <v>16</v>
      </c>
      <c r="E230" s="1" t="s">
        <v>24</v>
      </c>
      <c r="F230" s="1" t="s">
        <v>25</v>
      </c>
      <c r="G230" s="1" t="str">
        <f t="shared" si="19"/>
        <v>Associate</v>
      </c>
      <c r="H230" s="1">
        <v>96644</v>
      </c>
      <c r="I230" s="1">
        <f t="shared" si="20"/>
        <v>96644</v>
      </c>
      <c r="J230" s="1">
        <v>5</v>
      </c>
      <c r="K230" s="14">
        <f t="shared" si="21"/>
        <v>5</v>
      </c>
      <c r="L230" s="1">
        <v>3</v>
      </c>
      <c r="M230" s="1">
        <f t="shared" si="22"/>
        <v>3</v>
      </c>
      <c r="N230" s="1">
        <v>1</v>
      </c>
      <c r="O230" s="1">
        <f t="shared" si="23"/>
        <v>1</v>
      </c>
      <c r="P230" s="1" t="s">
        <v>20</v>
      </c>
      <c r="Q230" s="1">
        <v>6</v>
      </c>
      <c r="R230" s="1" t="s">
        <v>19</v>
      </c>
      <c r="S230" s="1" t="s">
        <v>26</v>
      </c>
      <c r="T230" s="1">
        <v>55</v>
      </c>
      <c r="U230" s="3" t="s">
        <v>36</v>
      </c>
    </row>
    <row r="231" spans="1:21" x14ac:dyDescent="0.25">
      <c r="A231" s="2" t="s">
        <v>268</v>
      </c>
      <c r="B231" s="1">
        <v>24</v>
      </c>
      <c r="C231" s="14">
        <f t="shared" si="18"/>
        <v>24</v>
      </c>
      <c r="D231" s="1" t="s">
        <v>16</v>
      </c>
      <c r="E231" s="1" t="s">
        <v>49</v>
      </c>
      <c r="F231" s="1" t="s">
        <v>33</v>
      </c>
      <c r="G231" s="1" t="str">
        <f t="shared" si="19"/>
        <v>Engineer</v>
      </c>
      <c r="H231" s="1">
        <v>32777</v>
      </c>
      <c r="I231" s="1">
        <f t="shared" si="20"/>
        <v>32777</v>
      </c>
      <c r="J231" s="1">
        <v>2</v>
      </c>
      <c r="K231" s="14">
        <f t="shared" si="21"/>
        <v>2</v>
      </c>
      <c r="L231" s="1">
        <v>4</v>
      </c>
      <c r="M231" s="1">
        <f t="shared" si="22"/>
        <v>4</v>
      </c>
      <c r="N231" s="1">
        <v>5</v>
      </c>
      <c r="O231" s="1">
        <f t="shared" si="23"/>
        <v>5</v>
      </c>
      <c r="P231" s="1" t="s">
        <v>19</v>
      </c>
      <c r="Q231" s="1">
        <v>16</v>
      </c>
      <c r="R231" s="1" t="s">
        <v>19</v>
      </c>
      <c r="S231" s="1" t="s">
        <v>30</v>
      </c>
      <c r="T231" s="1">
        <v>45</v>
      </c>
      <c r="U231" s="3" t="s">
        <v>44</v>
      </c>
    </row>
    <row r="232" spans="1:21" x14ac:dyDescent="0.25">
      <c r="A232" s="2" t="s">
        <v>269</v>
      </c>
      <c r="B232" s="1">
        <v>45</v>
      </c>
      <c r="C232" s="14">
        <f t="shared" si="18"/>
        <v>45</v>
      </c>
      <c r="D232" s="1" t="s">
        <v>28</v>
      </c>
      <c r="E232" s="1" t="s">
        <v>29</v>
      </c>
      <c r="F232" s="1" t="s">
        <v>25</v>
      </c>
      <c r="G232" s="1" t="str">
        <f t="shared" si="19"/>
        <v>Associate</v>
      </c>
      <c r="H232" s="1">
        <v>107514</v>
      </c>
      <c r="I232" s="1">
        <f t="shared" si="20"/>
        <v>107514</v>
      </c>
      <c r="J232" s="1">
        <v>2</v>
      </c>
      <c r="K232" s="14">
        <f t="shared" si="21"/>
        <v>2</v>
      </c>
      <c r="L232" s="1">
        <v>4</v>
      </c>
      <c r="M232" s="1">
        <f t="shared" si="22"/>
        <v>4</v>
      </c>
      <c r="N232" s="1">
        <v>1</v>
      </c>
      <c r="O232" s="1">
        <f t="shared" si="23"/>
        <v>1</v>
      </c>
      <c r="P232" s="1" t="s">
        <v>19</v>
      </c>
      <c r="Q232" s="1">
        <v>18</v>
      </c>
      <c r="R232" s="1" t="s">
        <v>19</v>
      </c>
      <c r="S232" s="1" t="s">
        <v>21</v>
      </c>
      <c r="T232" s="1">
        <v>38</v>
      </c>
      <c r="U232" s="3" t="s">
        <v>44</v>
      </c>
    </row>
    <row r="233" spans="1:21" x14ac:dyDescent="0.25">
      <c r="A233" s="2" t="s">
        <v>270</v>
      </c>
      <c r="B233" s="1">
        <v>23</v>
      </c>
      <c r="C233" s="14">
        <f t="shared" si="18"/>
        <v>23</v>
      </c>
      <c r="D233" s="1" t="s">
        <v>16</v>
      </c>
      <c r="E233" s="1" t="s">
        <v>49</v>
      </c>
      <c r="F233" s="1" t="s">
        <v>25</v>
      </c>
      <c r="G233" s="1" t="str">
        <f t="shared" si="19"/>
        <v>Associate</v>
      </c>
      <c r="H233" s="1">
        <v>55550</v>
      </c>
      <c r="I233" s="1">
        <f t="shared" si="20"/>
        <v>55550</v>
      </c>
      <c r="J233" s="1">
        <v>5</v>
      </c>
      <c r="K233" s="14">
        <f t="shared" si="21"/>
        <v>5</v>
      </c>
      <c r="L233" s="1">
        <v>4</v>
      </c>
      <c r="M233" s="1">
        <f t="shared" si="22"/>
        <v>4</v>
      </c>
      <c r="N233" s="1">
        <v>4</v>
      </c>
      <c r="O233" s="1">
        <f t="shared" si="23"/>
        <v>4</v>
      </c>
      <c r="P233" s="1" t="s">
        <v>20</v>
      </c>
      <c r="Q233" s="1">
        <v>2</v>
      </c>
      <c r="R233" s="1" t="s">
        <v>19</v>
      </c>
      <c r="S233" s="1" t="s">
        <v>30</v>
      </c>
      <c r="T233" s="1">
        <v>15</v>
      </c>
      <c r="U233" s="3" t="s">
        <v>36</v>
      </c>
    </row>
    <row r="234" spans="1:21" x14ac:dyDescent="0.25">
      <c r="A234" s="2" t="s">
        <v>271</v>
      </c>
      <c r="B234" s="1">
        <v>26</v>
      </c>
      <c r="C234" s="14">
        <f t="shared" si="18"/>
        <v>26</v>
      </c>
      <c r="D234" s="1" t="s">
        <v>16</v>
      </c>
      <c r="E234" s="1" t="s">
        <v>51</v>
      </c>
      <c r="F234" s="1" t="s">
        <v>25</v>
      </c>
      <c r="G234" s="1" t="str">
        <f t="shared" si="19"/>
        <v>Associate</v>
      </c>
      <c r="H234" s="1"/>
      <c r="I234" s="1">
        <f t="shared" si="20"/>
        <v>68925</v>
      </c>
      <c r="J234" s="1">
        <v>4</v>
      </c>
      <c r="K234" s="14">
        <f t="shared" si="21"/>
        <v>4</v>
      </c>
      <c r="L234" s="1">
        <v>5</v>
      </c>
      <c r="M234" s="1">
        <f t="shared" si="22"/>
        <v>5</v>
      </c>
      <c r="N234" s="1">
        <v>1</v>
      </c>
      <c r="O234" s="1">
        <f t="shared" si="23"/>
        <v>1</v>
      </c>
      <c r="P234" s="1" t="s">
        <v>20</v>
      </c>
      <c r="Q234" s="1">
        <v>13</v>
      </c>
      <c r="R234" s="1" t="s">
        <v>19</v>
      </c>
      <c r="S234" s="1" t="s">
        <v>21</v>
      </c>
      <c r="T234" s="1">
        <v>36</v>
      </c>
      <c r="U234" s="3" t="s">
        <v>22</v>
      </c>
    </row>
    <row r="235" spans="1:21" x14ac:dyDescent="0.25">
      <c r="A235" s="2" t="s">
        <v>272</v>
      </c>
      <c r="B235" s="1">
        <v>48</v>
      </c>
      <c r="C235" s="14">
        <f t="shared" si="18"/>
        <v>48</v>
      </c>
      <c r="D235" s="1" t="s">
        <v>16</v>
      </c>
      <c r="E235" s="1" t="s">
        <v>49</v>
      </c>
      <c r="F235" s="1" t="s">
        <v>25</v>
      </c>
      <c r="G235" s="1" t="str">
        <f t="shared" si="19"/>
        <v>Associate</v>
      </c>
      <c r="H235" s="1">
        <v>97800</v>
      </c>
      <c r="I235" s="1">
        <f t="shared" si="20"/>
        <v>97800</v>
      </c>
      <c r="J235" s="1">
        <v>1</v>
      </c>
      <c r="K235" s="14">
        <f t="shared" si="21"/>
        <v>1</v>
      </c>
      <c r="L235" s="1">
        <v>3</v>
      </c>
      <c r="M235" s="1">
        <f t="shared" si="22"/>
        <v>3</v>
      </c>
      <c r="N235" s="1">
        <v>2</v>
      </c>
      <c r="O235" s="1">
        <f t="shared" si="23"/>
        <v>2</v>
      </c>
      <c r="P235" s="1" t="s">
        <v>19</v>
      </c>
      <c r="Q235" s="1">
        <v>0</v>
      </c>
      <c r="R235" s="1" t="s">
        <v>19</v>
      </c>
      <c r="S235" s="1" t="s">
        <v>26</v>
      </c>
      <c r="T235" s="1">
        <v>6</v>
      </c>
      <c r="U235" s="3" t="s">
        <v>44</v>
      </c>
    </row>
    <row r="236" spans="1:21" x14ac:dyDescent="0.25">
      <c r="A236" s="2" t="s">
        <v>273</v>
      </c>
      <c r="B236" s="1">
        <v>52</v>
      </c>
      <c r="C236" s="14">
        <f t="shared" si="18"/>
        <v>52</v>
      </c>
      <c r="D236" s="1" t="s">
        <v>28</v>
      </c>
      <c r="E236" s="1" t="s">
        <v>24</v>
      </c>
      <c r="F236" s="1" t="s">
        <v>25</v>
      </c>
      <c r="G236" s="1" t="str">
        <f t="shared" si="19"/>
        <v>Associate</v>
      </c>
      <c r="H236" s="1"/>
      <c r="I236" s="1">
        <f t="shared" si="20"/>
        <v>68925</v>
      </c>
      <c r="J236" s="1"/>
      <c r="K236" s="14">
        <f t="shared" si="21"/>
        <v>3</v>
      </c>
      <c r="L236" s="1">
        <v>2</v>
      </c>
      <c r="M236" s="1">
        <f t="shared" si="22"/>
        <v>2</v>
      </c>
      <c r="N236" s="1">
        <v>3</v>
      </c>
      <c r="O236" s="1">
        <f t="shared" si="23"/>
        <v>3</v>
      </c>
      <c r="P236" s="1" t="s">
        <v>19</v>
      </c>
      <c r="Q236" s="1">
        <v>8</v>
      </c>
      <c r="R236" s="1" t="s">
        <v>19</v>
      </c>
      <c r="S236" s="1" t="s">
        <v>21</v>
      </c>
      <c r="T236" s="1">
        <v>47</v>
      </c>
      <c r="U236" s="3" t="s">
        <v>42</v>
      </c>
    </row>
    <row r="237" spans="1:21" x14ac:dyDescent="0.25">
      <c r="A237" s="2" t="s">
        <v>274</v>
      </c>
      <c r="B237" s="1">
        <v>38</v>
      </c>
      <c r="C237" s="14">
        <f t="shared" si="18"/>
        <v>38</v>
      </c>
      <c r="D237" s="1" t="s">
        <v>16</v>
      </c>
      <c r="E237" s="1" t="s">
        <v>29</v>
      </c>
      <c r="F237" s="1" t="s">
        <v>38</v>
      </c>
      <c r="G237" s="1" t="str">
        <f t="shared" si="19"/>
        <v>Lead</v>
      </c>
      <c r="H237" s="1">
        <v>93582</v>
      </c>
      <c r="I237" s="1">
        <f t="shared" si="20"/>
        <v>93582</v>
      </c>
      <c r="J237" s="1">
        <v>1</v>
      </c>
      <c r="K237" s="14">
        <f t="shared" si="21"/>
        <v>1</v>
      </c>
      <c r="L237" s="1">
        <v>4</v>
      </c>
      <c r="M237" s="1">
        <f t="shared" si="22"/>
        <v>4</v>
      </c>
      <c r="N237" s="1">
        <v>4</v>
      </c>
      <c r="O237" s="1">
        <f t="shared" si="23"/>
        <v>4</v>
      </c>
      <c r="P237" s="1" t="s">
        <v>20</v>
      </c>
      <c r="Q237" s="1">
        <v>1</v>
      </c>
      <c r="R237" s="1" t="s">
        <v>20</v>
      </c>
      <c r="S237" s="1" t="s">
        <v>26</v>
      </c>
      <c r="T237" s="1">
        <v>26</v>
      </c>
      <c r="U237" s="3" t="s">
        <v>36</v>
      </c>
    </row>
    <row r="238" spans="1:21" x14ac:dyDescent="0.25">
      <c r="A238" s="2" t="s">
        <v>275</v>
      </c>
      <c r="B238" s="1">
        <v>31</v>
      </c>
      <c r="C238" s="14">
        <f t="shared" si="18"/>
        <v>31</v>
      </c>
      <c r="D238" s="1" t="s">
        <v>28</v>
      </c>
      <c r="E238" s="1" t="s">
        <v>40</v>
      </c>
      <c r="F238" s="1" t="s">
        <v>25</v>
      </c>
      <c r="G238" s="1" t="str">
        <f t="shared" si="19"/>
        <v>Associate</v>
      </c>
      <c r="H238" s="1">
        <v>106358</v>
      </c>
      <c r="I238" s="1">
        <f t="shared" si="20"/>
        <v>106358</v>
      </c>
      <c r="J238" s="1">
        <v>1</v>
      </c>
      <c r="K238" s="14">
        <f t="shared" si="21"/>
        <v>1</v>
      </c>
      <c r="L238" s="1">
        <v>2</v>
      </c>
      <c r="M238" s="1">
        <f t="shared" si="22"/>
        <v>2</v>
      </c>
      <c r="N238" s="1"/>
      <c r="O238" s="1">
        <f t="shared" si="23"/>
        <v>3</v>
      </c>
      <c r="P238" s="1" t="s">
        <v>19</v>
      </c>
      <c r="Q238" s="1">
        <v>1</v>
      </c>
      <c r="R238" s="1" t="s">
        <v>19</v>
      </c>
      <c r="S238" s="1" t="s">
        <v>21</v>
      </c>
      <c r="T238" s="1">
        <v>10</v>
      </c>
      <c r="U238" s="3" t="s">
        <v>42</v>
      </c>
    </row>
    <row r="239" spans="1:21" x14ac:dyDescent="0.25">
      <c r="A239" s="2" t="s">
        <v>276</v>
      </c>
      <c r="B239" s="1">
        <v>44</v>
      </c>
      <c r="C239" s="14">
        <f t="shared" si="18"/>
        <v>44</v>
      </c>
      <c r="D239" s="1" t="s">
        <v>28</v>
      </c>
      <c r="E239" s="1" t="s">
        <v>51</v>
      </c>
      <c r="F239" s="1" t="s">
        <v>41</v>
      </c>
      <c r="G239" s="1" t="str">
        <f t="shared" si="19"/>
        <v>Executive</v>
      </c>
      <c r="H239" s="1">
        <v>22635</v>
      </c>
      <c r="I239" s="1">
        <f t="shared" si="20"/>
        <v>22635</v>
      </c>
      <c r="J239" s="1">
        <v>5</v>
      </c>
      <c r="K239" s="14">
        <f t="shared" si="21"/>
        <v>5</v>
      </c>
      <c r="L239" s="1">
        <v>4</v>
      </c>
      <c r="M239" s="1">
        <f t="shared" si="22"/>
        <v>4</v>
      </c>
      <c r="N239" s="1">
        <v>2</v>
      </c>
      <c r="O239" s="1">
        <f t="shared" si="23"/>
        <v>2</v>
      </c>
      <c r="P239" s="1" t="s">
        <v>20</v>
      </c>
      <c r="Q239" s="1">
        <v>7</v>
      </c>
      <c r="R239" s="1" t="s">
        <v>20</v>
      </c>
      <c r="S239" s="1" t="s">
        <v>26</v>
      </c>
      <c r="T239" s="1">
        <v>45</v>
      </c>
      <c r="U239" s="3" t="s">
        <v>36</v>
      </c>
    </row>
    <row r="240" spans="1:21" x14ac:dyDescent="0.25">
      <c r="A240" s="2" t="s">
        <v>277</v>
      </c>
      <c r="B240" s="1">
        <v>25</v>
      </c>
      <c r="C240" s="14">
        <f t="shared" si="18"/>
        <v>25</v>
      </c>
      <c r="D240" s="1" t="s">
        <v>28</v>
      </c>
      <c r="E240" s="1" t="s">
        <v>40</v>
      </c>
      <c r="F240" s="1" t="s">
        <v>25</v>
      </c>
      <c r="G240" s="1" t="str">
        <f t="shared" si="19"/>
        <v>Associate</v>
      </c>
      <c r="H240" s="1">
        <v>106254</v>
      </c>
      <c r="I240" s="1">
        <f t="shared" si="20"/>
        <v>106254</v>
      </c>
      <c r="J240" s="1"/>
      <c r="K240" s="14">
        <f t="shared" si="21"/>
        <v>3</v>
      </c>
      <c r="L240" s="1">
        <v>2</v>
      </c>
      <c r="M240" s="1">
        <f t="shared" si="22"/>
        <v>2</v>
      </c>
      <c r="N240" s="1">
        <v>2</v>
      </c>
      <c r="O240" s="1">
        <f t="shared" si="23"/>
        <v>2</v>
      </c>
      <c r="P240" s="1" t="s">
        <v>19</v>
      </c>
      <c r="Q240" s="1">
        <v>12</v>
      </c>
      <c r="R240" s="1" t="s">
        <v>19</v>
      </c>
      <c r="S240" s="1" t="s">
        <v>30</v>
      </c>
      <c r="T240" s="1">
        <v>41</v>
      </c>
      <c r="U240" s="3" t="s">
        <v>36</v>
      </c>
    </row>
    <row r="241" spans="1:21" x14ac:dyDescent="0.25">
      <c r="A241" s="2" t="s">
        <v>278</v>
      </c>
      <c r="B241" s="1">
        <v>41</v>
      </c>
      <c r="C241" s="14">
        <f t="shared" si="18"/>
        <v>41</v>
      </c>
      <c r="D241" s="1" t="s">
        <v>16</v>
      </c>
      <c r="E241" s="1" t="s">
        <v>24</v>
      </c>
      <c r="F241" s="1" t="s">
        <v>33</v>
      </c>
      <c r="G241" s="1" t="str">
        <f t="shared" si="19"/>
        <v>Engineer</v>
      </c>
      <c r="H241" s="1">
        <v>19044</v>
      </c>
      <c r="I241" s="1">
        <f t="shared" si="20"/>
        <v>19044</v>
      </c>
      <c r="J241" s="1">
        <v>3</v>
      </c>
      <c r="K241" s="14">
        <f t="shared" si="21"/>
        <v>3</v>
      </c>
      <c r="L241" s="1">
        <v>2</v>
      </c>
      <c r="M241" s="1">
        <f t="shared" si="22"/>
        <v>2</v>
      </c>
      <c r="N241" s="1">
        <v>3</v>
      </c>
      <c r="O241" s="1">
        <f t="shared" si="23"/>
        <v>3</v>
      </c>
      <c r="P241" s="1" t="s">
        <v>20</v>
      </c>
      <c r="Q241" s="1">
        <v>19</v>
      </c>
      <c r="R241" s="1" t="s">
        <v>19</v>
      </c>
      <c r="S241" s="1" t="s">
        <v>30</v>
      </c>
      <c r="T241" s="1">
        <v>52</v>
      </c>
      <c r="U241" s="3" t="s">
        <v>31</v>
      </c>
    </row>
    <row r="242" spans="1:21" x14ac:dyDescent="0.25">
      <c r="A242" s="2" t="s">
        <v>279</v>
      </c>
      <c r="B242" s="1">
        <v>52</v>
      </c>
      <c r="C242" s="14">
        <f t="shared" si="18"/>
        <v>52</v>
      </c>
      <c r="D242" s="1" t="s">
        <v>16</v>
      </c>
      <c r="E242" s="1" t="s">
        <v>17</v>
      </c>
      <c r="F242" s="1" t="s">
        <v>25</v>
      </c>
      <c r="G242" s="1" t="str">
        <f t="shared" si="19"/>
        <v>Associate</v>
      </c>
      <c r="H242" s="1">
        <v>117677</v>
      </c>
      <c r="I242" s="1">
        <f t="shared" si="20"/>
        <v>117677</v>
      </c>
      <c r="J242" s="1">
        <v>2</v>
      </c>
      <c r="K242" s="14">
        <f t="shared" si="21"/>
        <v>2</v>
      </c>
      <c r="L242" s="1"/>
      <c r="M242" s="1">
        <f t="shared" si="22"/>
        <v>3</v>
      </c>
      <c r="N242" s="1">
        <v>1</v>
      </c>
      <c r="O242" s="1">
        <f t="shared" si="23"/>
        <v>1</v>
      </c>
      <c r="P242" s="1" t="s">
        <v>20</v>
      </c>
      <c r="Q242" s="1">
        <v>0</v>
      </c>
      <c r="R242" s="1" t="s">
        <v>19</v>
      </c>
      <c r="S242" s="1" t="s">
        <v>26</v>
      </c>
      <c r="T242" s="1">
        <v>49</v>
      </c>
      <c r="U242" s="3" t="s">
        <v>22</v>
      </c>
    </row>
    <row r="243" spans="1:21" x14ac:dyDescent="0.25">
      <c r="A243" s="2" t="s">
        <v>280</v>
      </c>
      <c r="B243" s="1">
        <v>42</v>
      </c>
      <c r="C243" s="14">
        <f t="shared" si="18"/>
        <v>42</v>
      </c>
      <c r="D243" s="1" t="s">
        <v>16</v>
      </c>
      <c r="E243" s="1" t="s">
        <v>17</v>
      </c>
      <c r="F243" s="1" t="s">
        <v>33</v>
      </c>
      <c r="G243" s="1" t="str">
        <f t="shared" si="19"/>
        <v>Engineer</v>
      </c>
      <c r="H243" s="1">
        <v>114741</v>
      </c>
      <c r="I243" s="1">
        <f t="shared" si="20"/>
        <v>114741</v>
      </c>
      <c r="J243" s="1">
        <v>3</v>
      </c>
      <c r="K243" s="14">
        <f t="shared" si="21"/>
        <v>3</v>
      </c>
      <c r="L243" s="1">
        <v>1</v>
      </c>
      <c r="M243" s="1">
        <f t="shared" si="22"/>
        <v>1</v>
      </c>
      <c r="N243" s="1">
        <v>2</v>
      </c>
      <c r="O243" s="1">
        <f t="shared" si="23"/>
        <v>2</v>
      </c>
      <c r="P243" s="1" t="s">
        <v>19</v>
      </c>
      <c r="Q243" s="1">
        <v>13</v>
      </c>
      <c r="R243" s="1" t="s">
        <v>20</v>
      </c>
      <c r="S243" s="1" t="s">
        <v>21</v>
      </c>
      <c r="T243" s="1">
        <v>23</v>
      </c>
      <c r="U243" s="3" t="s">
        <v>36</v>
      </c>
    </row>
    <row r="244" spans="1:21" x14ac:dyDescent="0.25">
      <c r="A244" s="2" t="s">
        <v>281</v>
      </c>
      <c r="B244" s="1">
        <v>26</v>
      </c>
      <c r="C244" s="14">
        <f t="shared" si="18"/>
        <v>26</v>
      </c>
      <c r="D244" s="1" t="s">
        <v>16</v>
      </c>
      <c r="E244" s="1" t="s">
        <v>51</v>
      </c>
      <c r="F244" s="1" t="s">
        <v>25</v>
      </c>
      <c r="G244" s="1" t="str">
        <f t="shared" si="19"/>
        <v>Associate</v>
      </c>
      <c r="H244" s="1">
        <v>72140</v>
      </c>
      <c r="I244" s="1">
        <f t="shared" si="20"/>
        <v>72140</v>
      </c>
      <c r="J244" s="1">
        <v>3</v>
      </c>
      <c r="K244" s="14">
        <f t="shared" si="21"/>
        <v>3</v>
      </c>
      <c r="L244" s="1">
        <v>4</v>
      </c>
      <c r="M244" s="1">
        <f t="shared" si="22"/>
        <v>4</v>
      </c>
      <c r="N244" s="1"/>
      <c r="O244" s="1">
        <f t="shared" si="23"/>
        <v>3</v>
      </c>
      <c r="P244" s="1" t="s">
        <v>19</v>
      </c>
      <c r="Q244" s="1">
        <v>16</v>
      </c>
      <c r="R244" s="1" t="s">
        <v>19</v>
      </c>
      <c r="S244" s="1" t="s">
        <v>26</v>
      </c>
      <c r="T244" s="1">
        <v>55</v>
      </c>
      <c r="U244" s="3" t="s">
        <v>22</v>
      </c>
    </row>
    <row r="245" spans="1:21" x14ac:dyDescent="0.25">
      <c r="A245" s="2" t="s">
        <v>282</v>
      </c>
      <c r="B245" s="1">
        <v>58</v>
      </c>
      <c r="C245" s="14">
        <f t="shared" si="18"/>
        <v>58</v>
      </c>
      <c r="D245" s="1" t="s">
        <v>16</v>
      </c>
      <c r="E245" s="1" t="s">
        <v>49</v>
      </c>
      <c r="F245" s="1" t="s">
        <v>38</v>
      </c>
      <c r="G245" s="1" t="str">
        <f t="shared" si="19"/>
        <v>Lead</v>
      </c>
      <c r="H245" s="1">
        <v>35132</v>
      </c>
      <c r="I245" s="1">
        <f t="shared" si="20"/>
        <v>35132</v>
      </c>
      <c r="J245" s="1">
        <v>2</v>
      </c>
      <c r="K245" s="14">
        <f t="shared" si="21"/>
        <v>2</v>
      </c>
      <c r="L245" s="1">
        <v>3</v>
      </c>
      <c r="M245" s="1">
        <f t="shared" si="22"/>
        <v>3</v>
      </c>
      <c r="N245" s="1">
        <v>3</v>
      </c>
      <c r="O245" s="1">
        <f t="shared" si="23"/>
        <v>3</v>
      </c>
      <c r="P245" s="1" t="s">
        <v>20</v>
      </c>
      <c r="Q245" s="1">
        <v>12</v>
      </c>
      <c r="R245" s="1" t="s">
        <v>20</v>
      </c>
      <c r="S245" s="1" t="s">
        <v>30</v>
      </c>
      <c r="T245" s="1">
        <v>62</v>
      </c>
      <c r="U245" s="3" t="s">
        <v>36</v>
      </c>
    </row>
    <row r="246" spans="1:21" x14ac:dyDescent="0.25">
      <c r="A246" s="2" t="s">
        <v>283</v>
      </c>
      <c r="B246" s="1">
        <v>35</v>
      </c>
      <c r="C246" s="14">
        <f t="shared" si="18"/>
        <v>35</v>
      </c>
      <c r="D246" s="1" t="s">
        <v>16</v>
      </c>
      <c r="E246" s="1" t="s">
        <v>51</v>
      </c>
      <c r="F246" s="1" t="s">
        <v>41</v>
      </c>
      <c r="G246" s="1" t="str">
        <f t="shared" si="19"/>
        <v>Executive</v>
      </c>
      <c r="H246" s="1">
        <v>118944</v>
      </c>
      <c r="I246" s="1">
        <f t="shared" si="20"/>
        <v>118944</v>
      </c>
      <c r="J246" s="1">
        <v>5</v>
      </c>
      <c r="K246" s="14">
        <f t="shared" si="21"/>
        <v>5</v>
      </c>
      <c r="L246" s="1">
        <v>1</v>
      </c>
      <c r="M246" s="1">
        <f t="shared" si="22"/>
        <v>1</v>
      </c>
      <c r="N246" s="1">
        <v>2</v>
      </c>
      <c r="O246" s="1">
        <f t="shared" si="23"/>
        <v>2</v>
      </c>
      <c r="P246" s="1" t="s">
        <v>19</v>
      </c>
      <c r="Q246" s="1">
        <v>5</v>
      </c>
      <c r="R246" s="1" t="s">
        <v>20</v>
      </c>
      <c r="S246" s="1" t="s">
        <v>30</v>
      </c>
      <c r="T246" s="1">
        <v>45</v>
      </c>
      <c r="U246" s="3" t="s">
        <v>42</v>
      </c>
    </row>
    <row r="247" spans="1:21" x14ac:dyDescent="0.25">
      <c r="A247" s="2" t="s">
        <v>284</v>
      </c>
      <c r="B247" s="1">
        <v>28</v>
      </c>
      <c r="C247" s="14">
        <f t="shared" si="18"/>
        <v>28</v>
      </c>
      <c r="D247" s="1" t="s">
        <v>28</v>
      </c>
      <c r="E247" s="1" t="s">
        <v>51</v>
      </c>
      <c r="F247" s="1" t="s">
        <v>33</v>
      </c>
      <c r="G247" s="1" t="str">
        <f t="shared" si="19"/>
        <v>Engineer</v>
      </c>
      <c r="H247" s="1">
        <v>58410</v>
      </c>
      <c r="I247" s="1">
        <f t="shared" si="20"/>
        <v>58410</v>
      </c>
      <c r="J247" s="1">
        <v>4</v>
      </c>
      <c r="K247" s="14">
        <f t="shared" si="21"/>
        <v>4</v>
      </c>
      <c r="L247" s="1"/>
      <c r="M247" s="1">
        <f t="shared" si="22"/>
        <v>3</v>
      </c>
      <c r="N247" s="1">
        <v>1</v>
      </c>
      <c r="O247" s="1">
        <f t="shared" si="23"/>
        <v>1</v>
      </c>
      <c r="P247" s="1" t="s">
        <v>19</v>
      </c>
      <c r="Q247" s="1">
        <v>5</v>
      </c>
      <c r="R247" s="1" t="s">
        <v>20</v>
      </c>
      <c r="S247" s="1" t="s">
        <v>26</v>
      </c>
      <c r="T247" s="1">
        <v>10</v>
      </c>
      <c r="U247" s="3" t="s">
        <v>44</v>
      </c>
    </row>
    <row r="248" spans="1:21" x14ac:dyDescent="0.25">
      <c r="A248" s="2" t="s">
        <v>285</v>
      </c>
      <c r="B248" s="1">
        <v>41</v>
      </c>
      <c r="C248" s="14">
        <f t="shared" si="18"/>
        <v>41</v>
      </c>
      <c r="D248" s="1" t="s">
        <v>16</v>
      </c>
      <c r="E248" s="1" t="s">
        <v>40</v>
      </c>
      <c r="F248" s="1" t="s">
        <v>38</v>
      </c>
      <c r="G248" s="1" t="str">
        <f t="shared" si="19"/>
        <v>Lead</v>
      </c>
      <c r="H248" s="1">
        <v>50534</v>
      </c>
      <c r="I248" s="1">
        <f t="shared" si="20"/>
        <v>50534</v>
      </c>
      <c r="J248" s="1">
        <v>3</v>
      </c>
      <c r="K248" s="14">
        <f t="shared" si="21"/>
        <v>3</v>
      </c>
      <c r="L248" s="1">
        <v>4</v>
      </c>
      <c r="M248" s="1">
        <f t="shared" si="22"/>
        <v>4</v>
      </c>
      <c r="N248" s="1">
        <v>5</v>
      </c>
      <c r="O248" s="1">
        <f t="shared" si="23"/>
        <v>5</v>
      </c>
      <c r="P248" s="1" t="s">
        <v>19</v>
      </c>
      <c r="Q248" s="1">
        <v>9</v>
      </c>
      <c r="R248" s="1" t="s">
        <v>20</v>
      </c>
      <c r="S248" s="1" t="s">
        <v>21</v>
      </c>
      <c r="T248" s="1">
        <v>8</v>
      </c>
      <c r="U248" s="3" t="s">
        <v>42</v>
      </c>
    </row>
    <row r="249" spans="1:21" x14ac:dyDescent="0.25">
      <c r="A249" s="2" t="s">
        <v>286</v>
      </c>
      <c r="B249" s="1">
        <v>49</v>
      </c>
      <c r="C249" s="14">
        <f t="shared" si="18"/>
        <v>49</v>
      </c>
      <c r="D249" s="1" t="s">
        <v>16</v>
      </c>
      <c r="E249" s="1" t="s">
        <v>40</v>
      </c>
      <c r="F249" s="1" t="s">
        <v>33</v>
      </c>
      <c r="G249" s="1" t="str">
        <f t="shared" si="19"/>
        <v>Engineer</v>
      </c>
      <c r="H249" s="1">
        <v>31357</v>
      </c>
      <c r="I249" s="1">
        <f t="shared" si="20"/>
        <v>31357</v>
      </c>
      <c r="J249" s="1">
        <v>2</v>
      </c>
      <c r="K249" s="14">
        <f t="shared" si="21"/>
        <v>2</v>
      </c>
      <c r="L249" s="1">
        <v>1</v>
      </c>
      <c r="M249" s="1">
        <f t="shared" si="22"/>
        <v>1</v>
      </c>
      <c r="N249" s="1">
        <v>1</v>
      </c>
      <c r="O249" s="1">
        <f t="shared" si="23"/>
        <v>1</v>
      </c>
      <c r="P249" s="1" t="s">
        <v>19</v>
      </c>
      <c r="Q249" s="1">
        <v>7</v>
      </c>
      <c r="R249" s="1" t="s">
        <v>19</v>
      </c>
      <c r="S249" s="1" t="s">
        <v>21</v>
      </c>
      <c r="T249" s="1">
        <v>56</v>
      </c>
      <c r="U249" s="3" t="s">
        <v>36</v>
      </c>
    </row>
    <row r="250" spans="1:21" x14ac:dyDescent="0.25">
      <c r="A250" s="2" t="s">
        <v>287</v>
      </c>
      <c r="B250" s="1">
        <v>26</v>
      </c>
      <c r="C250" s="14">
        <f t="shared" si="18"/>
        <v>26</v>
      </c>
      <c r="D250" s="1" t="s">
        <v>28</v>
      </c>
      <c r="E250" s="1" t="s">
        <v>40</v>
      </c>
      <c r="F250" s="1" t="s">
        <v>35</v>
      </c>
      <c r="G250" s="1" t="str">
        <f t="shared" si="19"/>
        <v>Manager</v>
      </c>
      <c r="H250" s="1">
        <v>26450</v>
      </c>
      <c r="I250" s="1">
        <f t="shared" si="20"/>
        <v>26450</v>
      </c>
      <c r="J250" s="1">
        <v>2</v>
      </c>
      <c r="K250" s="14">
        <f t="shared" si="21"/>
        <v>2</v>
      </c>
      <c r="L250" s="1">
        <v>4</v>
      </c>
      <c r="M250" s="1">
        <f t="shared" si="22"/>
        <v>4</v>
      </c>
      <c r="N250" s="1">
        <v>2</v>
      </c>
      <c r="O250" s="1">
        <f t="shared" si="23"/>
        <v>2</v>
      </c>
      <c r="P250" s="1" t="s">
        <v>19</v>
      </c>
      <c r="Q250" s="1">
        <v>10</v>
      </c>
      <c r="R250" s="1" t="s">
        <v>19</v>
      </c>
      <c r="S250" s="1" t="s">
        <v>21</v>
      </c>
      <c r="T250" s="1">
        <v>64</v>
      </c>
      <c r="U250" s="3" t="s">
        <v>22</v>
      </c>
    </row>
    <row r="251" spans="1:21" x14ac:dyDescent="0.25">
      <c r="A251" s="2" t="s">
        <v>288</v>
      </c>
      <c r="B251" s="1">
        <v>31</v>
      </c>
      <c r="C251" s="14">
        <f t="shared" si="18"/>
        <v>31</v>
      </c>
      <c r="D251" s="1" t="s">
        <v>28</v>
      </c>
      <c r="E251" s="1" t="s">
        <v>17</v>
      </c>
      <c r="F251" s="1" t="s">
        <v>33</v>
      </c>
      <c r="G251" s="1" t="str">
        <f t="shared" si="19"/>
        <v>Engineer</v>
      </c>
      <c r="H251" s="1">
        <v>83028</v>
      </c>
      <c r="I251" s="1">
        <f t="shared" si="20"/>
        <v>83028</v>
      </c>
      <c r="J251" s="1">
        <v>1</v>
      </c>
      <c r="K251" s="14">
        <f t="shared" si="21"/>
        <v>1</v>
      </c>
      <c r="L251" s="1">
        <v>4</v>
      </c>
      <c r="M251" s="1">
        <f t="shared" si="22"/>
        <v>4</v>
      </c>
      <c r="N251" s="1">
        <v>4</v>
      </c>
      <c r="O251" s="1">
        <f t="shared" si="23"/>
        <v>4</v>
      </c>
      <c r="P251" s="1" t="s">
        <v>19</v>
      </c>
      <c r="Q251" s="1">
        <v>11</v>
      </c>
      <c r="R251" s="1" t="s">
        <v>19</v>
      </c>
      <c r="S251" s="1" t="s">
        <v>21</v>
      </c>
      <c r="T251" s="1">
        <v>40</v>
      </c>
      <c r="U251" s="3" t="s">
        <v>36</v>
      </c>
    </row>
    <row r="252" spans="1:21" x14ac:dyDescent="0.25">
      <c r="A252" s="2" t="s">
        <v>289</v>
      </c>
      <c r="B252" s="1"/>
      <c r="C252" s="14">
        <f t="shared" si="18"/>
        <v>39</v>
      </c>
      <c r="D252" s="1" t="s">
        <v>16</v>
      </c>
      <c r="E252" s="1" t="s">
        <v>40</v>
      </c>
      <c r="F252" s="1" t="s">
        <v>25</v>
      </c>
      <c r="G252" s="1" t="str">
        <f t="shared" si="19"/>
        <v>Associate</v>
      </c>
      <c r="H252" s="1">
        <v>99156</v>
      </c>
      <c r="I252" s="1">
        <f t="shared" si="20"/>
        <v>99156</v>
      </c>
      <c r="J252" s="1">
        <v>5</v>
      </c>
      <c r="K252" s="14">
        <f t="shared" si="21"/>
        <v>5</v>
      </c>
      <c r="L252" s="1">
        <v>2</v>
      </c>
      <c r="M252" s="1">
        <f t="shared" si="22"/>
        <v>2</v>
      </c>
      <c r="N252" s="1">
        <v>3</v>
      </c>
      <c r="O252" s="1">
        <f t="shared" si="23"/>
        <v>3</v>
      </c>
      <c r="P252" s="1" t="s">
        <v>20</v>
      </c>
      <c r="Q252" s="1">
        <v>13</v>
      </c>
      <c r="R252" s="1" t="s">
        <v>20</v>
      </c>
      <c r="S252" s="1" t="s">
        <v>21</v>
      </c>
      <c r="T252" s="1">
        <v>16</v>
      </c>
      <c r="U252" s="3" t="s">
        <v>36</v>
      </c>
    </row>
    <row r="253" spans="1:21" x14ac:dyDescent="0.25">
      <c r="A253" s="2" t="s">
        <v>290</v>
      </c>
      <c r="B253" s="1">
        <v>45</v>
      </c>
      <c r="C253" s="14">
        <f t="shared" si="18"/>
        <v>45</v>
      </c>
      <c r="D253" s="1" t="s">
        <v>16</v>
      </c>
      <c r="E253" s="1" t="s">
        <v>49</v>
      </c>
      <c r="F253" s="1" t="s">
        <v>41</v>
      </c>
      <c r="G253" s="1" t="str">
        <f t="shared" si="19"/>
        <v>Executive</v>
      </c>
      <c r="H253" s="1">
        <v>102233</v>
      </c>
      <c r="I253" s="1">
        <f t="shared" si="20"/>
        <v>102233</v>
      </c>
      <c r="J253" s="1">
        <v>5</v>
      </c>
      <c r="K253" s="14">
        <f t="shared" si="21"/>
        <v>5</v>
      </c>
      <c r="L253" s="1">
        <v>2</v>
      </c>
      <c r="M253" s="1">
        <f t="shared" si="22"/>
        <v>2</v>
      </c>
      <c r="N253" s="1">
        <v>5</v>
      </c>
      <c r="O253" s="1">
        <f t="shared" si="23"/>
        <v>5</v>
      </c>
      <c r="P253" s="1" t="s">
        <v>19</v>
      </c>
      <c r="Q253" s="1">
        <v>12</v>
      </c>
      <c r="R253" s="1" t="s">
        <v>20</v>
      </c>
      <c r="S253" s="1" t="s">
        <v>30</v>
      </c>
      <c r="T253" s="1">
        <v>74</v>
      </c>
      <c r="U253" s="3" t="s">
        <v>42</v>
      </c>
    </row>
    <row r="254" spans="1:21" x14ac:dyDescent="0.25">
      <c r="A254" s="2" t="s">
        <v>291</v>
      </c>
      <c r="B254" s="1">
        <v>43</v>
      </c>
      <c r="C254" s="14">
        <f t="shared" si="18"/>
        <v>43</v>
      </c>
      <c r="D254" s="1" t="s">
        <v>28</v>
      </c>
      <c r="E254" s="1" t="s">
        <v>49</v>
      </c>
      <c r="F254" s="1" t="s">
        <v>18</v>
      </c>
      <c r="G254" s="1" t="str">
        <f t="shared" si="19"/>
        <v>Analyst</v>
      </c>
      <c r="H254" s="1">
        <v>41568</v>
      </c>
      <c r="I254" s="1">
        <f t="shared" si="20"/>
        <v>41568</v>
      </c>
      <c r="J254" s="1">
        <v>1</v>
      </c>
      <c r="K254" s="14">
        <f t="shared" si="21"/>
        <v>1</v>
      </c>
      <c r="L254" s="1">
        <v>3</v>
      </c>
      <c r="M254" s="1">
        <f t="shared" si="22"/>
        <v>3</v>
      </c>
      <c r="N254" s="1">
        <v>5</v>
      </c>
      <c r="O254" s="1">
        <f t="shared" si="23"/>
        <v>5</v>
      </c>
      <c r="P254" s="1" t="s">
        <v>19</v>
      </c>
      <c r="Q254" s="1">
        <v>0</v>
      </c>
      <c r="R254" s="1" t="s">
        <v>20</v>
      </c>
      <c r="S254" s="1" t="s">
        <v>21</v>
      </c>
      <c r="T254" s="1">
        <v>65</v>
      </c>
      <c r="U254" s="3" t="s">
        <v>31</v>
      </c>
    </row>
    <row r="255" spans="1:21" x14ac:dyDescent="0.25">
      <c r="A255" s="2" t="s">
        <v>292</v>
      </c>
      <c r="B255" s="1">
        <v>43</v>
      </c>
      <c r="C255" s="14">
        <f t="shared" si="18"/>
        <v>43</v>
      </c>
      <c r="D255" s="1" t="s">
        <v>16</v>
      </c>
      <c r="E255" s="1" t="s">
        <v>51</v>
      </c>
      <c r="F255" s="1" t="s">
        <v>35</v>
      </c>
      <c r="G255" s="1" t="str">
        <f t="shared" si="19"/>
        <v>Manager</v>
      </c>
      <c r="H255" s="1">
        <v>50487</v>
      </c>
      <c r="I255" s="1">
        <f t="shared" si="20"/>
        <v>50487</v>
      </c>
      <c r="J255" s="1">
        <v>2</v>
      </c>
      <c r="K255" s="14">
        <f t="shared" si="21"/>
        <v>2</v>
      </c>
      <c r="L255" s="1">
        <v>3</v>
      </c>
      <c r="M255" s="1">
        <f t="shared" si="22"/>
        <v>3</v>
      </c>
      <c r="N255" s="1">
        <v>5</v>
      </c>
      <c r="O255" s="1">
        <f t="shared" si="23"/>
        <v>5</v>
      </c>
      <c r="P255" s="1" t="s">
        <v>19</v>
      </c>
      <c r="Q255" s="1">
        <v>7</v>
      </c>
      <c r="R255" s="1" t="s">
        <v>20</v>
      </c>
      <c r="S255" s="1" t="s">
        <v>30</v>
      </c>
      <c r="T255" s="1">
        <v>27</v>
      </c>
      <c r="U255" s="3" t="s">
        <v>44</v>
      </c>
    </row>
    <row r="256" spans="1:21" x14ac:dyDescent="0.25">
      <c r="A256" s="2" t="s">
        <v>293</v>
      </c>
      <c r="B256" s="1">
        <v>36</v>
      </c>
      <c r="C256" s="14">
        <f t="shared" si="18"/>
        <v>36</v>
      </c>
      <c r="D256" s="1" t="s">
        <v>28</v>
      </c>
      <c r="E256" s="1" t="s">
        <v>17</v>
      </c>
      <c r="F256" s="1" t="s">
        <v>38</v>
      </c>
      <c r="G256" s="1" t="str">
        <f t="shared" si="19"/>
        <v>Lead</v>
      </c>
      <c r="H256" s="1">
        <v>65026</v>
      </c>
      <c r="I256" s="1">
        <f t="shared" si="20"/>
        <v>65026</v>
      </c>
      <c r="J256" s="1">
        <v>5</v>
      </c>
      <c r="K256" s="14">
        <f t="shared" si="21"/>
        <v>5</v>
      </c>
      <c r="L256" s="1">
        <v>1</v>
      </c>
      <c r="M256" s="1">
        <f t="shared" si="22"/>
        <v>1</v>
      </c>
      <c r="N256" s="1">
        <v>3</v>
      </c>
      <c r="O256" s="1">
        <f t="shared" si="23"/>
        <v>3</v>
      </c>
      <c r="P256" s="1" t="s">
        <v>19</v>
      </c>
      <c r="Q256" s="1">
        <v>18</v>
      </c>
      <c r="R256" s="1" t="s">
        <v>19</v>
      </c>
      <c r="S256" s="1" t="s">
        <v>30</v>
      </c>
      <c r="T256" s="1">
        <v>74</v>
      </c>
      <c r="U256" s="3" t="s">
        <v>36</v>
      </c>
    </row>
    <row r="257" spans="1:21" x14ac:dyDescent="0.25">
      <c r="A257" s="2" t="s">
        <v>294</v>
      </c>
      <c r="B257" s="1">
        <v>32</v>
      </c>
      <c r="C257" s="14">
        <f t="shared" si="18"/>
        <v>32</v>
      </c>
      <c r="D257" s="1" t="s">
        <v>28</v>
      </c>
      <c r="E257" s="1" t="s">
        <v>40</v>
      </c>
      <c r="F257" s="1" t="s">
        <v>35</v>
      </c>
      <c r="G257" s="1" t="str">
        <f t="shared" si="19"/>
        <v>Manager</v>
      </c>
      <c r="H257" s="1">
        <v>25362</v>
      </c>
      <c r="I257" s="1">
        <f t="shared" si="20"/>
        <v>25362</v>
      </c>
      <c r="J257" s="1">
        <v>2</v>
      </c>
      <c r="K257" s="14">
        <f t="shared" si="21"/>
        <v>2</v>
      </c>
      <c r="L257" s="1">
        <v>5</v>
      </c>
      <c r="M257" s="1">
        <f t="shared" si="22"/>
        <v>5</v>
      </c>
      <c r="N257" s="1">
        <v>2</v>
      </c>
      <c r="O257" s="1">
        <f t="shared" si="23"/>
        <v>2</v>
      </c>
      <c r="P257" s="1" t="s">
        <v>19</v>
      </c>
      <c r="Q257" s="1">
        <v>16</v>
      </c>
      <c r="R257" s="1" t="s">
        <v>20</v>
      </c>
      <c r="S257" s="1" t="s">
        <v>21</v>
      </c>
      <c r="T257" s="1">
        <v>47</v>
      </c>
      <c r="U257" s="3" t="s">
        <v>31</v>
      </c>
    </row>
    <row r="258" spans="1:21" x14ac:dyDescent="0.25">
      <c r="A258" s="2" t="s">
        <v>295</v>
      </c>
      <c r="B258" s="1">
        <v>33</v>
      </c>
      <c r="C258" s="14">
        <f t="shared" ref="C258:C321" si="24">IF(B258="",39,B258)</f>
        <v>33</v>
      </c>
      <c r="D258" s="1" t="s">
        <v>16</v>
      </c>
      <c r="E258" s="1" t="s">
        <v>29</v>
      </c>
      <c r="F258" s="1" t="s">
        <v>38</v>
      </c>
      <c r="G258" s="1" t="str">
        <f t="shared" ref="G258:G321" si="25">PROPER(F258)</f>
        <v>Lead</v>
      </c>
      <c r="H258" s="1">
        <v>41260</v>
      </c>
      <c r="I258" s="1">
        <f t="shared" ref="I258:I321" si="26">IF(H258="",68925,H258)</f>
        <v>41260</v>
      </c>
      <c r="J258" s="1">
        <v>3</v>
      </c>
      <c r="K258" s="14">
        <f t="shared" ref="K258:K321" si="27">IF(J258="",3,J258)</f>
        <v>3</v>
      </c>
      <c r="L258" s="1">
        <v>1</v>
      </c>
      <c r="M258" s="1">
        <f t="shared" ref="M258:M321" si="28">IF(L258="",3,L258)</f>
        <v>1</v>
      </c>
      <c r="N258" s="1">
        <v>1</v>
      </c>
      <c r="O258" s="1">
        <f t="shared" ref="O258:O321" si="29">IF(N258="",3,N258)</f>
        <v>1</v>
      </c>
      <c r="P258" s="1" t="s">
        <v>19</v>
      </c>
      <c r="Q258" s="1">
        <v>18</v>
      </c>
      <c r="R258" s="1" t="s">
        <v>19</v>
      </c>
      <c r="S258" s="1" t="s">
        <v>21</v>
      </c>
      <c r="T258" s="1">
        <v>72</v>
      </c>
      <c r="U258" s="3" t="s">
        <v>36</v>
      </c>
    </row>
    <row r="259" spans="1:21" x14ac:dyDescent="0.25">
      <c r="A259" s="2" t="s">
        <v>296</v>
      </c>
      <c r="B259" s="1">
        <v>25</v>
      </c>
      <c r="C259" s="14">
        <f t="shared" si="24"/>
        <v>25</v>
      </c>
      <c r="D259" s="1" t="s">
        <v>28</v>
      </c>
      <c r="E259" s="1" t="s">
        <v>17</v>
      </c>
      <c r="F259" s="1" t="s">
        <v>38</v>
      </c>
      <c r="G259" s="1" t="str">
        <f t="shared" si="25"/>
        <v>Lead</v>
      </c>
      <c r="H259" s="1">
        <v>69851</v>
      </c>
      <c r="I259" s="1">
        <f t="shared" si="26"/>
        <v>69851</v>
      </c>
      <c r="J259" s="1">
        <v>5</v>
      </c>
      <c r="K259" s="14">
        <f t="shared" si="27"/>
        <v>5</v>
      </c>
      <c r="L259" s="1">
        <v>1</v>
      </c>
      <c r="M259" s="1">
        <f t="shared" si="28"/>
        <v>1</v>
      </c>
      <c r="N259" s="1">
        <v>3</v>
      </c>
      <c r="O259" s="1">
        <f t="shared" si="29"/>
        <v>3</v>
      </c>
      <c r="P259" s="1" t="s">
        <v>20</v>
      </c>
      <c r="Q259" s="1">
        <v>10</v>
      </c>
      <c r="R259" s="1" t="s">
        <v>19</v>
      </c>
      <c r="S259" s="1" t="s">
        <v>21</v>
      </c>
      <c r="T259" s="1">
        <v>60</v>
      </c>
      <c r="U259" s="3" t="s">
        <v>42</v>
      </c>
    </row>
    <row r="260" spans="1:21" x14ac:dyDescent="0.25">
      <c r="A260" s="2" t="s">
        <v>297</v>
      </c>
      <c r="B260" s="1">
        <v>41</v>
      </c>
      <c r="C260" s="14">
        <f t="shared" si="24"/>
        <v>41</v>
      </c>
      <c r="D260" s="1" t="s">
        <v>16</v>
      </c>
      <c r="E260" s="1" t="s">
        <v>17</v>
      </c>
      <c r="F260" s="1" t="s">
        <v>25</v>
      </c>
      <c r="G260" s="1" t="str">
        <f t="shared" si="25"/>
        <v>Associate</v>
      </c>
      <c r="H260" s="1">
        <v>108906</v>
      </c>
      <c r="I260" s="1">
        <f t="shared" si="26"/>
        <v>108906</v>
      </c>
      <c r="J260" s="1">
        <v>5</v>
      </c>
      <c r="K260" s="14">
        <f t="shared" si="27"/>
        <v>5</v>
      </c>
      <c r="L260" s="1"/>
      <c r="M260" s="1">
        <f t="shared" si="28"/>
        <v>3</v>
      </c>
      <c r="N260" s="1">
        <v>2</v>
      </c>
      <c r="O260" s="1">
        <f t="shared" si="29"/>
        <v>2</v>
      </c>
      <c r="P260" s="1" t="s">
        <v>19</v>
      </c>
      <c r="Q260" s="1">
        <v>12</v>
      </c>
      <c r="R260" s="1" t="s">
        <v>20</v>
      </c>
      <c r="S260" s="1" t="s">
        <v>26</v>
      </c>
      <c r="T260" s="1">
        <v>42</v>
      </c>
      <c r="U260" s="3" t="s">
        <v>44</v>
      </c>
    </row>
    <row r="261" spans="1:21" x14ac:dyDescent="0.25">
      <c r="A261" s="2" t="s">
        <v>298</v>
      </c>
      <c r="B261" s="1">
        <v>32</v>
      </c>
      <c r="C261" s="14">
        <f t="shared" si="24"/>
        <v>32</v>
      </c>
      <c r="D261" s="1" t="s">
        <v>16</v>
      </c>
      <c r="E261" s="1" t="s">
        <v>17</v>
      </c>
      <c r="F261" s="1" t="s">
        <v>25</v>
      </c>
      <c r="G261" s="1" t="str">
        <f t="shared" si="25"/>
        <v>Associate</v>
      </c>
      <c r="H261" s="1">
        <v>69327</v>
      </c>
      <c r="I261" s="1">
        <f t="shared" si="26"/>
        <v>69327</v>
      </c>
      <c r="J261" s="1">
        <v>5</v>
      </c>
      <c r="K261" s="14">
        <f t="shared" si="27"/>
        <v>5</v>
      </c>
      <c r="L261" s="1">
        <v>1</v>
      </c>
      <c r="M261" s="1">
        <f t="shared" si="28"/>
        <v>1</v>
      </c>
      <c r="N261" s="1">
        <v>2</v>
      </c>
      <c r="O261" s="1">
        <f t="shared" si="29"/>
        <v>2</v>
      </c>
      <c r="P261" s="1" t="s">
        <v>20</v>
      </c>
      <c r="Q261" s="1">
        <v>19</v>
      </c>
      <c r="R261" s="1" t="s">
        <v>19</v>
      </c>
      <c r="S261" s="1" t="s">
        <v>26</v>
      </c>
      <c r="T261" s="1">
        <v>77</v>
      </c>
      <c r="U261" s="3" t="s">
        <v>22</v>
      </c>
    </row>
    <row r="262" spans="1:21" x14ac:dyDescent="0.25">
      <c r="A262" s="2" t="s">
        <v>299</v>
      </c>
      <c r="B262" s="1">
        <v>52</v>
      </c>
      <c r="C262" s="14">
        <f t="shared" si="24"/>
        <v>52</v>
      </c>
      <c r="D262" s="1" t="s">
        <v>16</v>
      </c>
      <c r="E262" s="1" t="s">
        <v>29</v>
      </c>
      <c r="F262" s="1" t="s">
        <v>38</v>
      </c>
      <c r="G262" s="1" t="str">
        <f t="shared" si="25"/>
        <v>Lead</v>
      </c>
      <c r="H262" s="1">
        <v>28198</v>
      </c>
      <c r="I262" s="1">
        <f t="shared" si="26"/>
        <v>28198</v>
      </c>
      <c r="J262" s="1">
        <v>2</v>
      </c>
      <c r="K262" s="14">
        <f t="shared" si="27"/>
        <v>2</v>
      </c>
      <c r="L262" s="1">
        <v>3</v>
      </c>
      <c r="M262" s="1">
        <f t="shared" si="28"/>
        <v>3</v>
      </c>
      <c r="N262" s="1">
        <v>3</v>
      </c>
      <c r="O262" s="1">
        <f t="shared" si="29"/>
        <v>3</v>
      </c>
      <c r="P262" s="1" t="s">
        <v>19</v>
      </c>
      <c r="Q262" s="1">
        <v>20</v>
      </c>
      <c r="R262" s="1" t="s">
        <v>19</v>
      </c>
      <c r="S262" s="1" t="s">
        <v>26</v>
      </c>
      <c r="T262" s="1">
        <v>47</v>
      </c>
      <c r="U262" s="3" t="s">
        <v>42</v>
      </c>
    </row>
    <row r="263" spans="1:21" x14ac:dyDescent="0.25">
      <c r="A263" s="2" t="s">
        <v>300</v>
      </c>
      <c r="B263" s="1">
        <v>21</v>
      </c>
      <c r="C263" s="14">
        <f t="shared" si="24"/>
        <v>21</v>
      </c>
      <c r="D263" s="1" t="s">
        <v>28</v>
      </c>
      <c r="E263" s="1" t="s">
        <v>51</v>
      </c>
      <c r="F263" s="1" t="s">
        <v>41</v>
      </c>
      <c r="G263" s="1" t="str">
        <f t="shared" si="25"/>
        <v>Executive</v>
      </c>
      <c r="H263" s="1">
        <v>108855</v>
      </c>
      <c r="I263" s="1">
        <f t="shared" si="26"/>
        <v>108855</v>
      </c>
      <c r="J263" s="1">
        <v>1</v>
      </c>
      <c r="K263" s="14">
        <f t="shared" si="27"/>
        <v>1</v>
      </c>
      <c r="L263" s="1">
        <v>3</v>
      </c>
      <c r="M263" s="1">
        <f t="shared" si="28"/>
        <v>3</v>
      </c>
      <c r="N263" s="1">
        <v>3</v>
      </c>
      <c r="O263" s="1">
        <f t="shared" si="29"/>
        <v>3</v>
      </c>
      <c r="P263" s="1" t="s">
        <v>19</v>
      </c>
      <c r="Q263" s="1">
        <v>0</v>
      </c>
      <c r="R263" s="1" t="s">
        <v>19</v>
      </c>
      <c r="S263" s="1" t="s">
        <v>30</v>
      </c>
      <c r="T263" s="1">
        <v>61</v>
      </c>
      <c r="U263" s="3" t="s">
        <v>42</v>
      </c>
    </row>
    <row r="264" spans="1:21" x14ac:dyDescent="0.25">
      <c r="A264" s="2" t="s">
        <v>301</v>
      </c>
      <c r="B264" s="1">
        <v>31</v>
      </c>
      <c r="C264" s="14">
        <f t="shared" si="24"/>
        <v>31</v>
      </c>
      <c r="D264" s="1" t="s">
        <v>28</v>
      </c>
      <c r="E264" s="1" t="s">
        <v>49</v>
      </c>
      <c r="F264" s="1" t="s">
        <v>33</v>
      </c>
      <c r="G264" s="1" t="str">
        <f t="shared" si="25"/>
        <v>Engineer</v>
      </c>
      <c r="H264" s="1">
        <v>64036</v>
      </c>
      <c r="I264" s="1">
        <f t="shared" si="26"/>
        <v>64036</v>
      </c>
      <c r="J264" s="1">
        <v>5</v>
      </c>
      <c r="K264" s="14">
        <f t="shared" si="27"/>
        <v>5</v>
      </c>
      <c r="L264" s="1">
        <v>4</v>
      </c>
      <c r="M264" s="1">
        <f t="shared" si="28"/>
        <v>4</v>
      </c>
      <c r="N264" s="1">
        <v>1</v>
      </c>
      <c r="O264" s="1">
        <f t="shared" si="29"/>
        <v>1</v>
      </c>
      <c r="P264" s="1" t="s">
        <v>20</v>
      </c>
      <c r="Q264" s="1">
        <v>18</v>
      </c>
      <c r="R264" s="1" t="s">
        <v>19</v>
      </c>
      <c r="S264" s="1" t="s">
        <v>21</v>
      </c>
      <c r="T264" s="1">
        <v>62</v>
      </c>
      <c r="U264" s="3" t="s">
        <v>22</v>
      </c>
    </row>
    <row r="265" spans="1:21" x14ac:dyDescent="0.25">
      <c r="A265" s="2" t="s">
        <v>302</v>
      </c>
      <c r="B265" s="1">
        <v>23</v>
      </c>
      <c r="C265" s="14">
        <f t="shared" si="24"/>
        <v>23</v>
      </c>
      <c r="D265" s="1" t="s">
        <v>28</v>
      </c>
      <c r="E265" s="1" t="s">
        <v>40</v>
      </c>
      <c r="F265" s="1" t="s">
        <v>18</v>
      </c>
      <c r="G265" s="1" t="str">
        <f t="shared" si="25"/>
        <v>Analyst</v>
      </c>
      <c r="H265" s="1">
        <v>52226</v>
      </c>
      <c r="I265" s="1">
        <f t="shared" si="26"/>
        <v>52226</v>
      </c>
      <c r="J265" s="1">
        <v>1</v>
      </c>
      <c r="K265" s="14">
        <f t="shared" si="27"/>
        <v>1</v>
      </c>
      <c r="L265" s="1">
        <v>1</v>
      </c>
      <c r="M265" s="1">
        <f t="shared" si="28"/>
        <v>1</v>
      </c>
      <c r="N265" s="1">
        <v>3</v>
      </c>
      <c r="O265" s="1">
        <f t="shared" si="29"/>
        <v>3</v>
      </c>
      <c r="P265" s="1" t="s">
        <v>19</v>
      </c>
      <c r="Q265" s="1">
        <v>12</v>
      </c>
      <c r="R265" s="1" t="s">
        <v>19</v>
      </c>
      <c r="S265" s="1" t="s">
        <v>26</v>
      </c>
      <c r="T265" s="1">
        <v>14</v>
      </c>
      <c r="U265" s="3" t="s">
        <v>31</v>
      </c>
    </row>
    <row r="266" spans="1:21" x14ac:dyDescent="0.25">
      <c r="A266" s="2" t="s">
        <v>303</v>
      </c>
      <c r="B266" s="1">
        <v>26</v>
      </c>
      <c r="C266" s="14">
        <f t="shared" si="24"/>
        <v>26</v>
      </c>
      <c r="D266" s="1" t="s">
        <v>28</v>
      </c>
      <c r="E266" s="1" t="s">
        <v>24</v>
      </c>
      <c r="F266" s="1" t="s">
        <v>25</v>
      </c>
      <c r="G266" s="1" t="str">
        <f t="shared" si="25"/>
        <v>Associate</v>
      </c>
      <c r="H266" s="1">
        <v>81273</v>
      </c>
      <c r="I266" s="1">
        <f t="shared" si="26"/>
        <v>81273</v>
      </c>
      <c r="J266" s="1">
        <v>1</v>
      </c>
      <c r="K266" s="14">
        <f t="shared" si="27"/>
        <v>1</v>
      </c>
      <c r="L266" s="1">
        <v>4</v>
      </c>
      <c r="M266" s="1">
        <f t="shared" si="28"/>
        <v>4</v>
      </c>
      <c r="N266" s="1">
        <v>2</v>
      </c>
      <c r="O266" s="1">
        <f t="shared" si="29"/>
        <v>2</v>
      </c>
      <c r="P266" s="1" t="s">
        <v>20</v>
      </c>
      <c r="Q266" s="1">
        <v>5</v>
      </c>
      <c r="R266" s="1" t="s">
        <v>19</v>
      </c>
      <c r="S266" s="1" t="s">
        <v>21</v>
      </c>
      <c r="T266" s="1">
        <v>47</v>
      </c>
      <c r="U266" s="3" t="s">
        <v>44</v>
      </c>
    </row>
    <row r="267" spans="1:21" x14ac:dyDescent="0.25">
      <c r="A267" s="2" t="s">
        <v>304</v>
      </c>
      <c r="B267" s="1">
        <v>33</v>
      </c>
      <c r="C267" s="14">
        <f t="shared" si="24"/>
        <v>33</v>
      </c>
      <c r="D267" s="1" t="s">
        <v>28</v>
      </c>
      <c r="E267" s="1" t="s">
        <v>17</v>
      </c>
      <c r="F267" s="1" t="s">
        <v>25</v>
      </c>
      <c r="G267" s="1" t="str">
        <f t="shared" si="25"/>
        <v>Associate</v>
      </c>
      <c r="H267" s="1">
        <v>112638</v>
      </c>
      <c r="I267" s="1">
        <f t="shared" si="26"/>
        <v>112638</v>
      </c>
      <c r="J267" s="1">
        <v>5</v>
      </c>
      <c r="K267" s="14">
        <f t="shared" si="27"/>
        <v>5</v>
      </c>
      <c r="L267" s="1">
        <v>3</v>
      </c>
      <c r="M267" s="1">
        <f t="shared" si="28"/>
        <v>3</v>
      </c>
      <c r="N267" s="1">
        <v>3</v>
      </c>
      <c r="O267" s="1">
        <f t="shared" si="29"/>
        <v>3</v>
      </c>
      <c r="P267" s="1" t="s">
        <v>20</v>
      </c>
      <c r="Q267" s="1">
        <v>7</v>
      </c>
      <c r="R267" s="1" t="s">
        <v>19</v>
      </c>
      <c r="S267" s="1" t="s">
        <v>21</v>
      </c>
      <c r="T267" s="1">
        <v>55</v>
      </c>
      <c r="U267" s="3" t="s">
        <v>31</v>
      </c>
    </row>
    <row r="268" spans="1:21" x14ac:dyDescent="0.25">
      <c r="A268" s="2" t="s">
        <v>305</v>
      </c>
      <c r="B268" s="1">
        <v>56</v>
      </c>
      <c r="C268" s="14">
        <f t="shared" si="24"/>
        <v>56</v>
      </c>
      <c r="D268" s="1" t="s">
        <v>28</v>
      </c>
      <c r="E268" s="1" t="s">
        <v>51</v>
      </c>
      <c r="F268" s="1" t="s">
        <v>35</v>
      </c>
      <c r="G268" s="1" t="str">
        <f t="shared" si="25"/>
        <v>Manager</v>
      </c>
      <c r="H268" s="1">
        <v>65294</v>
      </c>
      <c r="I268" s="1">
        <f t="shared" si="26"/>
        <v>65294</v>
      </c>
      <c r="J268" s="1">
        <v>1</v>
      </c>
      <c r="K268" s="14">
        <f t="shared" si="27"/>
        <v>1</v>
      </c>
      <c r="L268" s="1">
        <v>4</v>
      </c>
      <c r="M268" s="1">
        <f t="shared" si="28"/>
        <v>4</v>
      </c>
      <c r="N268" s="1">
        <v>1</v>
      </c>
      <c r="O268" s="1">
        <f t="shared" si="29"/>
        <v>1</v>
      </c>
      <c r="P268" s="1" t="s">
        <v>20</v>
      </c>
      <c r="Q268" s="1">
        <v>20</v>
      </c>
      <c r="R268" s="1" t="s">
        <v>20</v>
      </c>
      <c r="S268" s="1" t="s">
        <v>21</v>
      </c>
      <c r="T268" s="1">
        <v>17</v>
      </c>
      <c r="U268" s="3" t="s">
        <v>22</v>
      </c>
    </row>
    <row r="269" spans="1:21" x14ac:dyDescent="0.25">
      <c r="A269" s="2" t="s">
        <v>306</v>
      </c>
      <c r="B269" s="1"/>
      <c r="C269" s="14">
        <f t="shared" si="24"/>
        <v>39</v>
      </c>
      <c r="D269" s="1" t="s">
        <v>16</v>
      </c>
      <c r="E269" s="1" t="s">
        <v>17</v>
      </c>
      <c r="F269" s="1" t="s">
        <v>18</v>
      </c>
      <c r="G269" s="1" t="str">
        <f t="shared" si="25"/>
        <v>Analyst</v>
      </c>
      <c r="H269" s="1">
        <v>28739</v>
      </c>
      <c r="I269" s="1">
        <f t="shared" si="26"/>
        <v>28739</v>
      </c>
      <c r="J269" s="1">
        <v>4</v>
      </c>
      <c r="K269" s="14">
        <f t="shared" si="27"/>
        <v>4</v>
      </c>
      <c r="L269" s="1">
        <v>1</v>
      </c>
      <c r="M269" s="1">
        <f t="shared" si="28"/>
        <v>1</v>
      </c>
      <c r="N269" s="1">
        <v>3</v>
      </c>
      <c r="O269" s="1">
        <f t="shared" si="29"/>
        <v>3</v>
      </c>
      <c r="P269" s="1" t="s">
        <v>20</v>
      </c>
      <c r="Q269" s="1">
        <v>15</v>
      </c>
      <c r="R269" s="1" t="s">
        <v>20</v>
      </c>
      <c r="S269" s="1" t="s">
        <v>26</v>
      </c>
      <c r="T269" s="1">
        <v>38</v>
      </c>
      <c r="U269" s="3" t="s">
        <v>22</v>
      </c>
    </row>
    <row r="270" spans="1:21" x14ac:dyDescent="0.25">
      <c r="A270" s="2" t="s">
        <v>307</v>
      </c>
      <c r="B270" s="1">
        <v>55</v>
      </c>
      <c r="C270" s="14">
        <f t="shared" si="24"/>
        <v>55</v>
      </c>
      <c r="D270" s="1" t="s">
        <v>28</v>
      </c>
      <c r="E270" s="1" t="s">
        <v>51</v>
      </c>
      <c r="F270" s="1" t="s">
        <v>18</v>
      </c>
      <c r="G270" s="1" t="str">
        <f t="shared" si="25"/>
        <v>Analyst</v>
      </c>
      <c r="H270" s="1">
        <v>67996</v>
      </c>
      <c r="I270" s="1">
        <f t="shared" si="26"/>
        <v>67996</v>
      </c>
      <c r="J270" s="1">
        <v>3</v>
      </c>
      <c r="K270" s="14">
        <f t="shared" si="27"/>
        <v>3</v>
      </c>
      <c r="L270" s="1">
        <v>2</v>
      </c>
      <c r="M270" s="1">
        <f t="shared" si="28"/>
        <v>2</v>
      </c>
      <c r="N270" s="1">
        <v>4</v>
      </c>
      <c r="O270" s="1">
        <f t="shared" si="29"/>
        <v>4</v>
      </c>
      <c r="P270" s="1" t="s">
        <v>19</v>
      </c>
      <c r="Q270" s="1">
        <v>8</v>
      </c>
      <c r="R270" s="1" t="s">
        <v>20</v>
      </c>
      <c r="S270" s="1" t="s">
        <v>30</v>
      </c>
      <c r="T270" s="1">
        <v>38</v>
      </c>
      <c r="U270" s="3" t="s">
        <v>44</v>
      </c>
    </row>
    <row r="271" spans="1:21" x14ac:dyDescent="0.25">
      <c r="A271" s="2" t="s">
        <v>308</v>
      </c>
      <c r="B271" s="1">
        <v>38</v>
      </c>
      <c r="C271" s="14">
        <f t="shared" si="24"/>
        <v>38</v>
      </c>
      <c r="D271" s="1" t="s">
        <v>16</v>
      </c>
      <c r="E271" s="1" t="s">
        <v>51</v>
      </c>
      <c r="F271" s="1" t="s">
        <v>38</v>
      </c>
      <c r="G271" s="1" t="str">
        <f t="shared" si="25"/>
        <v>Lead</v>
      </c>
      <c r="H271" s="1">
        <v>105486</v>
      </c>
      <c r="I271" s="1">
        <f t="shared" si="26"/>
        <v>105486</v>
      </c>
      <c r="J271" s="1">
        <v>1</v>
      </c>
      <c r="K271" s="14">
        <f t="shared" si="27"/>
        <v>1</v>
      </c>
      <c r="L271" s="1">
        <v>1</v>
      </c>
      <c r="M271" s="1">
        <f t="shared" si="28"/>
        <v>1</v>
      </c>
      <c r="N271" s="1">
        <v>3</v>
      </c>
      <c r="O271" s="1">
        <f t="shared" si="29"/>
        <v>3</v>
      </c>
      <c r="P271" s="1" t="s">
        <v>20</v>
      </c>
      <c r="Q271" s="1">
        <v>18</v>
      </c>
      <c r="R271" s="1" t="s">
        <v>19</v>
      </c>
      <c r="S271" s="1" t="s">
        <v>26</v>
      </c>
      <c r="T271" s="1">
        <v>12</v>
      </c>
      <c r="U271" s="3" t="s">
        <v>42</v>
      </c>
    </row>
    <row r="272" spans="1:21" x14ac:dyDescent="0.25">
      <c r="A272" s="2" t="s">
        <v>309</v>
      </c>
      <c r="B272" s="1">
        <v>54</v>
      </c>
      <c r="C272" s="14">
        <f t="shared" si="24"/>
        <v>54</v>
      </c>
      <c r="D272" s="1" t="s">
        <v>28</v>
      </c>
      <c r="E272" s="1" t="s">
        <v>24</v>
      </c>
      <c r="F272" s="1" t="s">
        <v>38</v>
      </c>
      <c r="G272" s="1" t="str">
        <f t="shared" si="25"/>
        <v>Lead</v>
      </c>
      <c r="H272" s="1">
        <v>80236</v>
      </c>
      <c r="I272" s="1">
        <f t="shared" si="26"/>
        <v>80236</v>
      </c>
      <c r="J272" s="1">
        <v>5</v>
      </c>
      <c r="K272" s="14">
        <f t="shared" si="27"/>
        <v>5</v>
      </c>
      <c r="L272" s="1">
        <v>2</v>
      </c>
      <c r="M272" s="1">
        <f t="shared" si="28"/>
        <v>2</v>
      </c>
      <c r="N272" s="1">
        <v>4</v>
      </c>
      <c r="O272" s="1">
        <f t="shared" si="29"/>
        <v>4</v>
      </c>
      <c r="P272" s="1" t="s">
        <v>20</v>
      </c>
      <c r="Q272" s="1">
        <v>2</v>
      </c>
      <c r="R272" s="1" t="s">
        <v>20</v>
      </c>
      <c r="S272" s="1" t="s">
        <v>26</v>
      </c>
      <c r="T272" s="1">
        <v>9</v>
      </c>
      <c r="U272" s="3" t="s">
        <v>31</v>
      </c>
    </row>
    <row r="273" spans="1:21" x14ac:dyDescent="0.25">
      <c r="A273" s="2" t="s">
        <v>310</v>
      </c>
      <c r="B273" s="1">
        <v>57</v>
      </c>
      <c r="C273" s="14">
        <f t="shared" si="24"/>
        <v>57</v>
      </c>
      <c r="D273" s="1" t="s">
        <v>16</v>
      </c>
      <c r="E273" s="1" t="s">
        <v>40</v>
      </c>
      <c r="F273" s="1" t="s">
        <v>33</v>
      </c>
      <c r="G273" s="1" t="str">
        <f t="shared" si="25"/>
        <v>Engineer</v>
      </c>
      <c r="H273" s="1">
        <v>40659</v>
      </c>
      <c r="I273" s="1">
        <f t="shared" si="26"/>
        <v>40659</v>
      </c>
      <c r="J273" s="1">
        <v>2</v>
      </c>
      <c r="K273" s="14">
        <f t="shared" si="27"/>
        <v>2</v>
      </c>
      <c r="L273" s="1"/>
      <c r="M273" s="1">
        <f t="shared" si="28"/>
        <v>3</v>
      </c>
      <c r="N273" s="1">
        <v>2</v>
      </c>
      <c r="O273" s="1">
        <f t="shared" si="29"/>
        <v>2</v>
      </c>
      <c r="P273" s="1" t="s">
        <v>19</v>
      </c>
      <c r="Q273" s="1">
        <v>1</v>
      </c>
      <c r="R273" s="1" t="s">
        <v>20</v>
      </c>
      <c r="S273" s="1" t="s">
        <v>21</v>
      </c>
      <c r="T273" s="1">
        <v>60</v>
      </c>
      <c r="U273" s="3" t="s">
        <v>44</v>
      </c>
    </row>
    <row r="274" spans="1:21" x14ac:dyDescent="0.25">
      <c r="A274" s="2" t="s">
        <v>311</v>
      </c>
      <c r="B274" s="1">
        <v>30</v>
      </c>
      <c r="C274" s="14">
        <f t="shared" si="24"/>
        <v>30</v>
      </c>
      <c r="D274" s="1" t="s">
        <v>28</v>
      </c>
      <c r="E274" s="1" t="s">
        <v>29</v>
      </c>
      <c r="F274" s="1" t="s">
        <v>38</v>
      </c>
      <c r="G274" s="1" t="str">
        <f t="shared" si="25"/>
        <v>Lead</v>
      </c>
      <c r="H274" s="1">
        <v>26783</v>
      </c>
      <c r="I274" s="1">
        <f t="shared" si="26"/>
        <v>26783</v>
      </c>
      <c r="J274" s="1">
        <v>1</v>
      </c>
      <c r="K274" s="14">
        <f t="shared" si="27"/>
        <v>1</v>
      </c>
      <c r="L274" s="1">
        <v>4</v>
      </c>
      <c r="M274" s="1">
        <f t="shared" si="28"/>
        <v>4</v>
      </c>
      <c r="N274" s="1">
        <v>5</v>
      </c>
      <c r="O274" s="1">
        <f t="shared" si="29"/>
        <v>5</v>
      </c>
      <c r="P274" s="1" t="s">
        <v>20</v>
      </c>
      <c r="Q274" s="1">
        <v>17</v>
      </c>
      <c r="R274" s="1" t="s">
        <v>20</v>
      </c>
      <c r="S274" s="1" t="s">
        <v>30</v>
      </c>
      <c r="T274" s="1">
        <v>71</v>
      </c>
      <c r="U274" s="3" t="s">
        <v>42</v>
      </c>
    </row>
    <row r="275" spans="1:21" x14ac:dyDescent="0.25">
      <c r="A275" s="2" t="s">
        <v>312</v>
      </c>
      <c r="B275" s="1">
        <v>21</v>
      </c>
      <c r="C275" s="14">
        <f t="shared" si="24"/>
        <v>21</v>
      </c>
      <c r="D275" s="1" t="s">
        <v>28</v>
      </c>
      <c r="E275" s="1" t="s">
        <v>40</v>
      </c>
      <c r="F275" s="1" t="s">
        <v>33</v>
      </c>
      <c r="G275" s="1" t="str">
        <f t="shared" si="25"/>
        <v>Engineer</v>
      </c>
      <c r="H275" s="1">
        <v>37613</v>
      </c>
      <c r="I275" s="1">
        <f t="shared" si="26"/>
        <v>37613</v>
      </c>
      <c r="J275" s="1">
        <v>2</v>
      </c>
      <c r="K275" s="14">
        <f t="shared" si="27"/>
        <v>2</v>
      </c>
      <c r="L275" s="1">
        <v>5</v>
      </c>
      <c r="M275" s="1">
        <f t="shared" si="28"/>
        <v>5</v>
      </c>
      <c r="N275" s="1">
        <v>5</v>
      </c>
      <c r="O275" s="1">
        <f t="shared" si="29"/>
        <v>5</v>
      </c>
      <c r="P275" s="1" t="s">
        <v>19</v>
      </c>
      <c r="Q275" s="1">
        <v>3</v>
      </c>
      <c r="R275" s="1" t="s">
        <v>19</v>
      </c>
      <c r="S275" s="1" t="s">
        <v>30</v>
      </c>
      <c r="T275" s="1">
        <v>73</v>
      </c>
      <c r="U275" s="3" t="s">
        <v>36</v>
      </c>
    </row>
    <row r="276" spans="1:21" x14ac:dyDescent="0.25">
      <c r="A276" s="2" t="s">
        <v>313</v>
      </c>
      <c r="B276" s="1">
        <v>47</v>
      </c>
      <c r="C276" s="14">
        <f t="shared" si="24"/>
        <v>47</v>
      </c>
      <c r="D276" s="1" t="s">
        <v>28</v>
      </c>
      <c r="E276" s="1" t="s">
        <v>49</v>
      </c>
      <c r="F276" s="1" t="s">
        <v>38</v>
      </c>
      <c r="G276" s="1" t="str">
        <f t="shared" si="25"/>
        <v>Lead</v>
      </c>
      <c r="H276" s="1">
        <v>81646</v>
      </c>
      <c r="I276" s="1">
        <f t="shared" si="26"/>
        <v>81646</v>
      </c>
      <c r="J276" s="1">
        <v>5</v>
      </c>
      <c r="K276" s="14">
        <f t="shared" si="27"/>
        <v>5</v>
      </c>
      <c r="L276" s="1">
        <v>5</v>
      </c>
      <c r="M276" s="1">
        <f t="shared" si="28"/>
        <v>5</v>
      </c>
      <c r="N276" s="1">
        <v>4</v>
      </c>
      <c r="O276" s="1">
        <f t="shared" si="29"/>
        <v>4</v>
      </c>
      <c r="P276" s="1" t="s">
        <v>19</v>
      </c>
      <c r="Q276" s="1">
        <v>5</v>
      </c>
      <c r="R276" s="1" t="s">
        <v>20</v>
      </c>
      <c r="S276" s="1" t="s">
        <v>30</v>
      </c>
      <c r="T276" s="1">
        <v>23</v>
      </c>
      <c r="U276" s="3" t="s">
        <v>31</v>
      </c>
    </row>
    <row r="277" spans="1:21" x14ac:dyDescent="0.25">
      <c r="A277" s="2" t="s">
        <v>314</v>
      </c>
      <c r="B277" s="1">
        <v>46</v>
      </c>
      <c r="C277" s="14">
        <f t="shared" si="24"/>
        <v>46</v>
      </c>
      <c r="D277" s="1" t="s">
        <v>16</v>
      </c>
      <c r="E277" s="1" t="s">
        <v>49</v>
      </c>
      <c r="F277" s="1" t="s">
        <v>18</v>
      </c>
      <c r="G277" s="1" t="str">
        <f t="shared" si="25"/>
        <v>Analyst</v>
      </c>
      <c r="H277" s="1">
        <v>108507</v>
      </c>
      <c r="I277" s="1">
        <f t="shared" si="26"/>
        <v>108507</v>
      </c>
      <c r="J277" s="1">
        <v>2</v>
      </c>
      <c r="K277" s="14">
        <f t="shared" si="27"/>
        <v>2</v>
      </c>
      <c r="L277" s="1">
        <v>1</v>
      </c>
      <c r="M277" s="1">
        <f t="shared" si="28"/>
        <v>1</v>
      </c>
      <c r="N277" s="1">
        <v>4</v>
      </c>
      <c r="O277" s="1">
        <f t="shared" si="29"/>
        <v>4</v>
      </c>
      <c r="P277" s="1" t="s">
        <v>20</v>
      </c>
      <c r="Q277" s="1">
        <v>11</v>
      </c>
      <c r="R277" s="1" t="s">
        <v>19</v>
      </c>
      <c r="S277" s="1" t="s">
        <v>30</v>
      </c>
      <c r="T277" s="1">
        <v>43</v>
      </c>
      <c r="U277" s="3" t="s">
        <v>36</v>
      </c>
    </row>
    <row r="278" spans="1:21" x14ac:dyDescent="0.25">
      <c r="A278" s="2" t="s">
        <v>315</v>
      </c>
      <c r="B278" s="1">
        <v>38</v>
      </c>
      <c r="C278" s="14">
        <f t="shared" si="24"/>
        <v>38</v>
      </c>
      <c r="D278" s="1" t="s">
        <v>28</v>
      </c>
      <c r="E278" s="1" t="s">
        <v>17</v>
      </c>
      <c r="F278" s="1" t="s">
        <v>38</v>
      </c>
      <c r="G278" s="1" t="str">
        <f t="shared" si="25"/>
        <v>Lead</v>
      </c>
      <c r="H278" s="1">
        <v>30873</v>
      </c>
      <c r="I278" s="1">
        <f t="shared" si="26"/>
        <v>30873</v>
      </c>
      <c r="J278" s="1">
        <v>2</v>
      </c>
      <c r="K278" s="14">
        <f t="shared" si="27"/>
        <v>2</v>
      </c>
      <c r="L278" s="1">
        <v>2</v>
      </c>
      <c r="M278" s="1">
        <f t="shared" si="28"/>
        <v>2</v>
      </c>
      <c r="N278" s="1">
        <v>3</v>
      </c>
      <c r="O278" s="1">
        <f t="shared" si="29"/>
        <v>3</v>
      </c>
      <c r="P278" s="1" t="s">
        <v>20</v>
      </c>
      <c r="Q278" s="1">
        <v>10</v>
      </c>
      <c r="R278" s="1" t="s">
        <v>20</v>
      </c>
      <c r="S278" s="1" t="s">
        <v>26</v>
      </c>
      <c r="T278" s="1">
        <v>58</v>
      </c>
      <c r="U278" s="3" t="s">
        <v>31</v>
      </c>
    </row>
    <row r="279" spans="1:21" x14ac:dyDescent="0.25">
      <c r="A279" s="2" t="s">
        <v>316</v>
      </c>
      <c r="B279" s="1">
        <v>26</v>
      </c>
      <c r="C279" s="14">
        <f t="shared" si="24"/>
        <v>26</v>
      </c>
      <c r="D279" s="1" t="s">
        <v>16</v>
      </c>
      <c r="E279" s="1" t="s">
        <v>49</v>
      </c>
      <c r="F279" s="1" t="s">
        <v>41</v>
      </c>
      <c r="G279" s="1" t="str">
        <f t="shared" si="25"/>
        <v>Executive</v>
      </c>
      <c r="H279" s="1">
        <v>71368</v>
      </c>
      <c r="I279" s="1">
        <f t="shared" si="26"/>
        <v>71368</v>
      </c>
      <c r="J279" s="1">
        <v>4</v>
      </c>
      <c r="K279" s="14">
        <f t="shared" si="27"/>
        <v>4</v>
      </c>
      <c r="L279" s="1">
        <v>5</v>
      </c>
      <c r="M279" s="1">
        <f t="shared" si="28"/>
        <v>5</v>
      </c>
      <c r="N279" s="1">
        <v>3</v>
      </c>
      <c r="O279" s="1">
        <f t="shared" si="29"/>
        <v>3</v>
      </c>
      <c r="P279" s="1" t="s">
        <v>19</v>
      </c>
      <c r="Q279" s="1">
        <v>16</v>
      </c>
      <c r="R279" s="1" t="s">
        <v>19</v>
      </c>
      <c r="S279" s="1" t="s">
        <v>21</v>
      </c>
      <c r="T279" s="1">
        <v>44</v>
      </c>
      <c r="U279" s="3" t="s">
        <v>31</v>
      </c>
    </row>
    <row r="280" spans="1:21" x14ac:dyDescent="0.25">
      <c r="A280" s="2" t="s">
        <v>317</v>
      </c>
      <c r="B280" s="1">
        <v>46</v>
      </c>
      <c r="C280" s="14">
        <f t="shared" si="24"/>
        <v>46</v>
      </c>
      <c r="D280" s="1" t="s">
        <v>16</v>
      </c>
      <c r="E280" s="1" t="s">
        <v>24</v>
      </c>
      <c r="F280" s="1" t="s">
        <v>25</v>
      </c>
      <c r="G280" s="1" t="str">
        <f t="shared" si="25"/>
        <v>Associate</v>
      </c>
      <c r="H280" s="1">
        <v>21794</v>
      </c>
      <c r="I280" s="1">
        <f t="shared" si="26"/>
        <v>21794</v>
      </c>
      <c r="J280" s="1">
        <v>2</v>
      </c>
      <c r="K280" s="14">
        <f t="shared" si="27"/>
        <v>2</v>
      </c>
      <c r="L280" s="1">
        <v>2</v>
      </c>
      <c r="M280" s="1">
        <f t="shared" si="28"/>
        <v>2</v>
      </c>
      <c r="N280" s="1">
        <v>2</v>
      </c>
      <c r="O280" s="1">
        <f t="shared" si="29"/>
        <v>2</v>
      </c>
      <c r="P280" s="1" t="s">
        <v>19</v>
      </c>
      <c r="Q280" s="1">
        <v>7</v>
      </c>
      <c r="R280" s="1" t="s">
        <v>19</v>
      </c>
      <c r="S280" s="1" t="s">
        <v>30</v>
      </c>
      <c r="T280" s="1">
        <v>11</v>
      </c>
      <c r="U280" s="3" t="s">
        <v>36</v>
      </c>
    </row>
    <row r="281" spans="1:21" x14ac:dyDescent="0.25">
      <c r="A281" s="2" t="s">
        <v>318</v>
      </c>
      <c r="B281" s="1">
        <v>33</v>
      </c>
      <c r="C281" s="14">
        <f t="shared" si="24"/>
        <v>33</v>
      </c>
      <c r="D281" s="1" t="s">
        <v>28</v>
      </c>
      <c r="E281" s="1" t="s">
        <v>29</v>
      </c>
      <c r="F281" s="1" t="s">
        <v>33</v>
      </c>
      <c r="G281" s="1" t="str">
        <f t="shared" si="25"/>
        <v>Engineer</v>
      </c>
      <c r="H281" s="1">
        <v>84207</v>
      </c>
      <c r="I281" s="1">
        <f t="shared" si="26"/>
        <v>84207</v>
      </c>
      <c r="J281" s="1">
        <v>4</v>
      </c>
      <c r="K281" s="14">
        <f t="shared" si="27"/>
        <v>4</v>
      </c>
      <c r="L281" s="1">
        <v>1</v>
      </c>
      <c r="M281" s="1">
        <f t="shared" si="28"/>
        <v>1</v>
      </c>
      <c r="N281" s="1">
        <v>1</v>
      </c>
      <c r="O281" s="1">
        <f t="shared" si="29"/>
        <v>1</v>
      </c>
      <c r="P281" s="1" t="s">
        <v>19</v>
      </c>
      <c r="Q281" s="1">
        <v>11</v>
      </c>
      <c r="R281" s="1" t="s">
        <v>20</v>
      </c>
      <c r="S281" s="1" t="s">
        <v>26</v>
      </c>
      <c r="T281" s="1">
        <v>62</v>
      </c>
      <c r="U281" s="3" t="s">
        <v>44</v>
      </c>
    </row>
    <row r="282" spans="1:21" x14ac:dyDescent="0.25">
      <c r="A282" s="2" t="s">
        <v>319</v>
      </c>
      <c r="B282" s="1">
        <v>51</v>
      </c>
      <c r="C282" s="14">
        <f t="shared" si="24"/>
        <v>51</v>
      </c>
      <c r="D282" s="1" t="s">
        <v>28</v>
      </c>
      <c r="E282" s="1" t="s">
        <v>29</v>
      </c>
      <c r="F282" s="1" t="s">
        <v>41</v>
      </c>
      <c r="G282" s="1" t="str">
        <f t="shared" si="25"/>
        <v>Executive</v>
      </c>
      <c r="H282" s="1">
        <v>51903</v>
      </c>
      <c r="I282" s="1">
        <f t="shared" si="26"/>
        <v>51903</v>
      </c>
      <c r="J282" s="1">
        <v>1</v>
      </c>
      <c r="K282" s="14">
        <f t="shared" si="27"/>
        <v>1</v>
      </c>
      <c r="L282" s="1">
        <v>3</v>
      </c>
      <c r="M282" s="1">
        <f t="shared" si="28"/>
        <v>3</v>
      </c>
      <c r="N282" s="1">
        <v>1</v>
      </c>
      <c r="O282" s="1">
        <f t="shared" si="29"/>
        <v>1</v>
      </c>
      <c r="P282" s="1" t="s">
        <v>20</v>
      </c>
      <c r="Q282" s="1">
        <v>1</v>
      </c>
      <c r="R282" s="1" t="s">
        <v>19</v>
      </c>
      <c r="S282" s="1" t="s">
        <v>26</v>
      </c>
      <c r="T282" s="1">
        <v>32</v>
      </c>
      <c r="U282" s="3" t="s">
        <v>44</v>
      </c>
    </row>
    <row r="283" spans="1:21" x14ac:dyDescent="0.25">
      <c r="A283" s="2" t="s">
        <v>320</v>
      </c>
      <c r="B283" s="1">
        <v>35</v>
      </c>
      <c r="C283" s="14">
        <f t="shared" si="24"/>
        <v>35</v>
      </c>
      <c r="D283" s="1" t="s">
        <v>16</v>
      </c>
      <c r="E283" s="1" t="s">
        <v>29</v>
      </c>
      <c r="F283" s="1" t="s">
        <v>38</v>
      </c>
      <c r="G283" s="1" t="str">
        <f t="shared" si="25"/>
        <v>Lead</v>
      </c>
      <c r="H283" s="1">
        <v>71674</v>
      </c>
      <c r="I283" s="1">
        <f t="shared" si="26"/>
        <v>71674</v>
      </c>
      <c r="J283" s="1">
        <v>5</v>
      </c>
      <c r="K283" s="14">
        <f t="shared" si="27"/>
        <v>5</v>
      </c>
      <c r="L283" s="1">
        <v>1</v>
      </c>
      <c r="M283" s="1">
        <f t="shared" si="28"/>
        <v>1</v>
      </c>
      <c r="N283" s="1">
        <v>1</v>
      </c>
      <c r="O283" s="1">
        <f t="shared" si="29"/>
        <v>1</v>
      </c>
      <c r="P283" s="1" t="s">
        <v>20</v>
      </c>
      <c r="Q283" s="1">
        <v>4</v>
      </c>
      <c r="R283" s="1" t="s">
        <v>19</v>
      </c>
      <c r="S283" s="1" t="s">
        <v>26</v>
      </c>
      <c r="T283" s="1">
        <v>6</v>
      </c>
      <c r="U283" s="3" t="s">
        <v>44</v>
      </c>
    </row>
    <row r="284" spans="1:21" x14ac:dyDescent="0.25">
      <c r="A284" s="2" t="s">
        <v>321</v>
      </c>
      <c r="B284" s="1">
        <v>37</v>
      </c>
      <c r="C284" s="14">
        <f t="shared" si="24"/>
        <v>37</v>
      </c>
      <c r="D284" s="1" t="s">
        <v>28</v>
      </c>
      <c r="E284" s="1" t="s">
        <v>17</v>
      </c>
      <c r="F284" s="1" t="s">
        <v>38</v>
      </c>
      <c r="G284" s="1" t="str">
        <f t="shared" si="25"/>
        <v>Lead</v>
      </c>
      <c r="H284" s="1">
        <v>102245</v>
      </c>
      <c r="I284" s="1">
        <f t="shared" si="26"/>
        <v>102245</v>
      </c>
      <c r="J284" s="1">
        <v>3</v>
      </c>
      <c r="K284" s="14">
        <f t="shared" si="27"/>
        <v>3</v>
      </c>
      <c r="L284" s="1">
        <v>4</v>
      </c>
      <c r="M284" s="1">
        <f t="shared" si="28"/>
        <v>4</v>
      </c>
      <c r="N284" s="1">
        <v>4</v>
      </c>
      <c r="O284" s="1">
        <f t="shared" si="29"/>
        <v>4</v>
      </c>
      <c r="P284" s="1" t="s">
        <v>20</v>
      </c>
      <c r="Q284" s="1">
        <v>14</v>
      </c>
      <c r="R284" s="1" t="s">
        <v>20</v>
      </c>
      <c r="S284" s="1" t="s">
        <v>21</v>
      </c>
      <c r="T284" s="1">
        <v>64</v>
      </c>
      <c r="U284" s="3" t="s">
        <v>36</v>
      </c>
    </row>
    <row r="285" spans="1:21" x14ac:dyDescent="0.25">
      <c r="A285" s="2" t="s">
        <v>322</v>
      </c>
      <c r="B285" s="1"/>
      <c r="C285" s="14">
        <f t="shared" si="24"/>
        <v>39</v>
      </c>
      <c r="D285" s="1" t="s">
        <v>28</v>
      </c>
      <c r="E285" s="1" t="s">
        <v>24</v>
      </c>
      <c r="F285" s="1" t="s">
        <v>35</v>
      </c>
      <c r="G285" s="1" t="str">
        <f t="shared" si="25"/>
        <v>Manager</v>
      </c>
      <c r="H285" s="1">
        <v>18963</v>
      </c>
      <c r="I285" s="1">
        <f t="shared" si="26"/>
        <v>18963</v>
      </c>
      <c r="J285" s="1">
        <v>5</v>
      </c>
      <c r="K285" s="14">
        <f t="shared" si="27"/>
        <v>5</v>
      </c>
      <c r="L285" s="1">
        <v>3</v>
      </c>
      <c r="M285" s="1">
        <f t="shared" si="28"/>
        <v>3</v>
      </c>
      <c r="N285" s="1">
        <v>5</v>
      </c>
      <c r="O285" s="1">
        <f t="shared" si="29"/>
        <v>5</v>
      </c>
      <c r="P285" s="1" t="s">
        <v>20</v>
      </c>
      <c r="Q285" s="1">
        <v>9</v>
      </c>
      <c r="R285" s="1" t="s">
        <v>19</v>
      </c>
      <c r="S285" s="1" t="s">
        <v>30</v>
      </c>
      <c r="T285" s="1">
        <v>13</v>
      </c>
      <c r="U285" s="3" t="s">
        <v>36</v>
      </c>
    </row>
    <row r="286" spans="1:21" x14ac:dyDescent="0.25">
      <c r="A286" s="2" t="s">
        <v>323</v>
      </c>
      <c r="B286" s="1">
        <v>38</v>
      </c>
      <c r="C286" s="14">
        <f t="shared" si="24"/>
        <v>38</v>
      </c>
      <c r="D286" s="1" t="s">
        <v>28</v>
      </c>
      <c r="E286" s="1" t="s">
        <v>29</v>
      </c>
      <c r="F286" s="1" t="s">
        <v>18</v>
      </c>
      <c r="G286" s="1" t="str">
        <f t="shared" si="25"/>
        <v>Analyst</v>
      </c>
      <c r="H286" s="1">
        <v>103998</v>
      </c>
      <c r="I286" s="1">
        <f t="shared" si="26"/>
        <v>103998</v>
      </c>
      <c r="J286" s="1">
        <v>3</v>
      </c>
      <c r="K286" s="14">
        <f t="shared" si="27"/>
        <v>3</v>
      </c>
      <c r="L286" s="1">
        <v>2</v>
      </c>
      <c r="M286" s="1">
        <f t="shared" si="28"/>
        <v>2</v>
      </c>
      <c r="N286" s="1">
        <v>2</v>
      </c>
      <c r="O286" s="1">
        <f t="shared" si="29"/>
        <v>2</v>
      </c>
      <c r="P286" s="1" t="s">
        <v>19</v>
      </c>
      <c r="Q286" s="1">
        <v>1</v>
      </c>
      <c r="R286" s="1" t="s">
        <v>20</v>
      </c>
      <c r="S286" s="1" t="s">
        <v>26</v>
      </c>
      <c r="T286" s="1">
        <v>45</v>
      </c>
      <c r="U286" s="3" t="s">
        <v>44</v>
      </c>
    </row>
    <row r="287" spans="1:21" x14ac:dyDescent="0.25">
      <c r="A287" s="2" t="s">
        <v>324</v>
      </c>
      <c r="B287" s="1">
        <v>22</v>
      </c>
      <c r="C287" s="14">
        <f t="shared" si="24"/>
        <v>22</v>
      </c>
      <c r="D287" s="1" t="s">
        <v>28</v>
      </c>
      <c r="E287" s="1" t="s">
        <v>29</v>
      </c>
      <c r="F287" s="1" t="s">
        <v>18</v>
      </c>
      <c r="G287" s="1" t="str">
        <f t="shared" si="25"/>
        <v>Analyst</v>
      </c>
      <c r="H287" s="1">
        <v>72862</v>
      </c>
      <c r="I287" s="1">
        <f t="shared" si="26"/>
        <v>72862</v>
      </c>
      <c r="J287" s="1">
        <v>4</v>
      </c>
      <c r="K287" s="14">
        <f t="shared" si="27"/>
        <v>4</v>
      </c>
      <c r="L287" s="1">
        <v>4</v>
      </c>
      <c r="M287" s="1">
        <f t="shared" si="28"/>
        <v>4</v>
      </c>
      <c r="N287" s="1">
        <v>1</v>
      </c>
      <c r="O287" s="1">
        <f t="shared" si="29"/>
        <v>1</v>
      </c>
      <c r="P287" s="1" t="s">
        <v>19</v>
      </c>
      <c r="Q287" s="1">
        <v>10</v>
      </c>
      <c r="R287" s="1" t="s">
        <v>19</v>
      </c>
      <c r="S287" s="1" t="s">
        <v>26</v>
      </c>
      <c r="T287" s="1">
        <v>73</v>
      </c>
      <c r="U287" s="3" t="s">
        <v>42</v>
      </c>
    </row>
    <row r="288" spans="1:21" x14ac:dyDescent="0.25">
      <c r="A288" s="2" t="s">
        <v>325</v>
      </c>
      <c r="B288" s="1">
        <v>43</v>
      </c>
      <c r="C288" s="14">
        <f t="shared" si="24"/>
        <v>43</v>
      </c>
      <c r="D288" s="1" t="s">
        <v>28</v>
      </c>
      <c r="E288" s="1" t="s">
        <v>51</v>
      </c>
      <c r="F288" s="1" t="s">
        <v>38</v>
      </c>
      <c r="G288" s="1" t="str">
        <f t="shared" si="25"/>
        <v>Lead</v>
      </c>
      <c r="H288" s="1">
        <v>91170</v>
      </c>
      <c r="I288" s="1">
        <f t="shared" si="26"/>
        <v>91170</v>
      </c>
      <c r="J288" s="1">
        <v>2</v>
      </c>
      <c r="K288" s="14">
        <f t="shared" si="27"/>
        <v>2</v>
      </c>
      <c r="L288" s="1">
        <v>3</v>
      </c>
      <c r="M288" s="1">
        <f t="shared" si="28"/>
        <v>3</v>
      </c>
      <c r="N288" s="1">
        <v>1</v>
      </c>
      <c r="O288" s="1">
        <f t="shared" si="29"/>
        <v>1</v>
      </c>
      <c r="P288" s="1" t="s">
        <v>20</v>
      </c>
      <c r="Q288" s="1">
        <v>4</v>
      </c>
      <c r="R288" s="1" t="s">
        <v>20</v>
      </c>
      <c r="S288" s="1" t="s">
        <v>26</v>
      </c>
      <c r="T288" s="1">
        <v>76</v>
      </c>
      <c r="U288" s="3" t="s">
        <v>44</v>
      </c>
    </row>
    <row r="289" spans="1:21" x14ac:dyDescent="0.25">
      <c r="A289" s="2" t="s">
        <v>326</v>
      </c>
      <c r="B289" s="1">
        <v>42</v>
      </c>
      <c r="C289" s="14">
        <f t="shared" si="24"/>
        <v>42</v>
      </c>
      <c r="D289" s="1" t="s">
        <v>16</v>
      </c>
      <c r="E289" s="1" t="s">
        <v>51</v>
      </c>
      <c r="F289" s="1" t="s">
        <v>18</v>
      </c>
      <c r="G289" s="1" t="str">
        <f t="shared" si="25"/>
        <v>Analyst</v>
      </c>
      <c r="H289" s="1">
        <v>47272</v>
      </c>
      <c r="I289" s="1">
        <f t="shared" si="26"/>
        <v>47272</v>
      </c>
      <c r="J289" s="1">
        <v>3</v>
      </c>
      <c r="K289" s="14">
        <f t="shared" si="27"/>
        <v>3</v>
      </c>
      <c r="L289" s="1">
        <v>4</v>
      </c>
      <c r="M289" s="1">
        <f t="shared" si="28"/>
        <v>4</v>
      </c>
      <c r="N289" s="1">
        <v>3</v>
      </c>
      <c r="O289" s="1">
        <f t="shared" si="29"/>
        <v>3</v>
      </c>
      <c r="P289" s="1" t="s">
        <v>20</v>
      </c>
      <c r="Q289" s="1">
        <v>8</v>
      </c>
      <c r="R289" s="1" t="s">
        <v>20</v>
      </c>
      <c r="S289" s="1" t="s">
        <v>30</v>
      </c>
      <c r="T289" s="1">
        <v>20</v>
      </c>
      <c r="U289" s="3" t="s">
        <v>42</v>
      </c>
    </row>
    <row r="290" spans="1:21" x14ac:dyDescent="0.25">
      <c r="A290" s="2" t="s">
        <v>327</v>
      </c>
      <c r="B290" s="1">
        <v>24</v>
      </c>
      <c r="C290" s="14">
        <f t="shared" si="24"/>
        <v>24</v>
      </c>
      <c r="D290" s="1" t="s">
        <v>16</v>
      </c>
      <c r="E290" s="1" t="s">
        <v>49</v>
      </c>
      <c r="F290" s="1" t="s">
        <v>41</v>
      </c>
      <c r="G290" s="1" t="str">
        <f t="shared" si="25"/>
        <v>Executive</v>
      </c>
      <c r="H290" s="1">
        <v>83598</v>
      </c>
      <c r="I290" s="1">
        <f t="shared" si="26"/>
        <v>83598</v>
      </c>
      <c r="J290" s="1">
        <v>1</v>
      </c>
      <c r="K290" s="14">
        <f t="shared" si="27"/>
        <v>1</v>
      </c>
      <c r="L290" s="1">
        <v>4</v>
      </c>
      <c r="M290" s="1">
        <f t="shared" si="28"/>
        <v>4</v>
      </c>
      <c r="N290" s="1">
        <v>5</v>
      </c>
      <c r="O290" s="1">
        <f t="shared" si="29"/>
        <v>5</v>
      </c>
      <c r="P290" s="1" t="s">
        <v>20</v>
      </c>
      <c r="Q290" s="1">
        <v>13</v>
      </c>
      <c r="R290" s="1" t="s">
        <v>19</v>
      </c>
      <c r="S290" s="1" t="s">
        <v>21</v>
      </c>
      <c r="T290" s="1">
        <v>22</v>
      </c>
      <c r="U290" s="3" t="s">
        <v>44</v>
      </c>
    </row>
    <row r="291" spans="1:21" x14ac:dyDescent="0.25">
      <c r="A291" s="2" t="s">
        <v>328</v>
      </c>
      <c r="B291" s="1">
        <v>42</v>
      </c>
      <c r="C291" s="14">
        <f t="shared" si="24"/>
        <v>42</v>
      </c>
      <c r="D291" s="1" t="s">
        <v>28</v>
      </c>
      <c r="E291" s="1" t="s">
        <v>24</v>
      </c>
      <c r="F291" s="1" t="s">
        <v>33</v>
      </c>
      <c r="G291" s="1" t="str">
        <f t="shared" si="25"/>
        <v>Engineer</v>
      </c>
      <c r="H291" s="1">
        <v>36772</v>
      </c>
      <c r="I291" s="1">
        <f t="shared" si="26"/>
        <v>36772</v>
      </c>
      <c r="J291" s="1">
        <v>3</v>
      </c>
      <c r="K291" s="14">
        <f t="shared" si="27"/>
        <v>3</v>
      </c>
      <c r="L291" s="1">
        <v>2</v>
      </c>
      <c r="M291" s="1">
        <f t="shared" si="28"/>
        <v>2</v>
      </c>
      <c r="N291" s="1">
        <v>1</v>
      </c>
      <c r="O291" s="1">
        <f t="shared" si="29"/>
        <v>1</v>
      </c>
      <c r="P291" s="1" t="s">
        <v>20</v>
      </c>
      <c r="Q291" s="1">
        <v>10</v>
      </c>
      <c r="R291" s="1" t="s">
        <v>19</v>
      </c>
      <c r="S291" s="1" t="s">
        <v>30</v>
      </c>
      <c r="T291" s="1">
        <v>12</v>
      </c>
      <c r="U291" s="3" t="s">
        <v>22</v>
      </c>
    </row>
    <row r="292" spans="1:21" x14ac:dyDescent="0.25">
      <c r="A292" s="2" t="s">
        <v>329</v>
      </c>
      <c r="B292" s="1">
        <v>49</v>
      </c>
      <c r="C292" s="14">
        <f t="shared" si="24"/>
        <v>49</v>
      </c>
      <c r="D292" s="1" t="s">
        <v>28</v>
      </c>
      <c r="E292" s="1" t="s">
        <v>51</v>
      </c>
      <c r="F292" s="1" t="s">
        <v>41</v>
      </c>
      <c r="G292" s="1" t="str">
        <f t="shared" si="25"/>
        <v>Executive</v>
      </c>
      <c r="H292" s="1">
        <v>93534</v>
      </c>
      <c r="I292" s="1">
        <f t="shared" si="26"/>
        <v>93534</v>
      </c>
      <c r="J292" s="1">
        <v>2</v>
      </c>
      <c r="K292" s="14">
        <f t="shared" si="27"/>
        <v>2</v>
      </c>
      <c r="L292" s="1">
        <v>4</v>
      </c>
      <c r="M292" s="1">
        <f t="shared" si="28"/>
        <v>4</v>
      </c>
      <c r="N292" s="1">
        <v>1</v>
      </c>
      <c r="O292" s="1">
        <f t="shared" si="29"/>
        <v>1</v>
      </c>
      <c r="P292" s="1" t="s">
        <v>19</v>
      </c>
      <c r="Q292" s="1">
        <v>19</v>
      </c>
      <c r="R292" s="1" t="s">
        <v>20</v>
      </c>
      <c r="S292" s="1" t="s">
        <v>26</v>
      </c>
      <c r="T292" s="1">
        <v>59</v>
      </c>
      <c r="U292" s="3" t="s">
        <v>42</v>
      </c>
    </row>
    <row r="293" spans="1:21" x14ac:dyDescent="0.25">
      <c r="A293" s="2" t="s">
        <v>330</v>
      </c>
      <c r="B293" s="1">
        <v>48</v>
      </c>
      <c r="C293" s="14">
        <f t="shared" si="24"/>
        <v>48</v>
      </c>
      <c r="D293" s="1" t="s">
        <v>28</v>
      </c>
      <c r="E293" s="1" t="s">
        <v>49</v>
      </c>
      <c r="F293" s="1" t="s">
        <v>35</v>
      </c>
      <c r="G293" s="1" t="str">
        <f t="shared" si="25"/>
        <v>Manager</v>
      </c>
      <c r="H293" s="1">
        <v>22944</v>
      </c>
      <c r="I293" s="1">
        <f t="shared" si="26"/>
        <v>22944</v>
      </c>
      <c r="J293" s="1"/>
      <c r="K293" s="14">
        <f t="shared" si="27"/>
        <v>3</v>
      </c>
      <c r="L293" s="1">
        <v>2</v>
      </c>
      <c r="M293" s="1">
        <f t="shared" si="28"/>
        <v>2</v>
      </c>
      <c r="N293" s="1">
        <v>3</v>
      </c>
      <c r="O293" s="1">
        <f t="shared" si="29"/>
        <v>3</v>
      </c>
      <c r="P293" s="1" t="s">
        <v>19</v>
      </c>
      <c r="Q293" s="1">
        <v>10</v>
      </c>
      <c r="R293" s="1" t="s">
        <v>19</v>
      </c>
      <c r="S293" s="1" t="s">
        <v>21</v>
      </c>
      <c r="T293" s="1">
        <v>5</v>
      </c>
      <c r="U293" s="3" t="s">
        <v>44</v>
      </c>
    </row>
    <row r="294" spans="1:21" x14ac:dyDescent="0.25">
      <c r="A294" s="2" t="s">
        <v>331</v>
      </c>
      <c r="B294" s="1">
        <v>35</v>
      </c>
      <c r="C294" s="14">
        <f t="shared" si="24"/>
        <v>35</v>
      </c>
      <c r="D294" s="1" t="s">
        <v>28</v>
      </c>
      <c r="E294" s="1" t="s">
        <v>29</v>
      </c>
      <c r="F294" s="1" t="s">
        <v>41</v>
      </c>
      <c r="G294" s="1" t="str">
        <f t="shared" si="25"/>
        <v>Executive</v>
      </c>
      <c r="H294" s="1">
        <v>31462</v>
      </c>
      <c r="I294" s="1">
        <f t="shared" si="26"/>
        <v>31462</v>
      </c>
      <c r="J294" s="1">
        <v>4</v>
      </c>
      <c r="K294" s="14">
        <f t="shared" si="27"/>
        <v>4</v>
      </c>
      <c r="L294" s="1">
        <v>5</v>
      </c>
      <c r="M294" s="1">
        <f t="shared" si="28"/>
        <v>5</v>
      </c>
      <c r="N294" s="1">
        <v>5</v>
      </c>
      <c r="O294" s="1">
        <f t="shared" si="29"/>
        <v>5</v>
      </c>
      <c r="P294" s="1" t="s">
        <v>20</v>
      </c>
      <c r="Q294" s="1">
        <v>5</v>
      </c>
      <c r="R294" s="1" t="s">
        <v>19</v>
      </c>
      <c r="S294" s="1" t="s">
        <v>21</v>
      </c>
      <c r="T294" s="1">
        <v>43</v>
      </c>
      <c r="U294" s="3" t="s">
        <v>36</v>
      </c>
    </row>
    <row r="295" spans="1:21" x14ac:dyDescent="0.25">
      <c r="A295" s="2" t="s">
        <v>332</v>
      </c>
      <c r="B295" s="1">
        <v>50</v>
      </c>
      <c r="C295" s="14">
        <f t="shared" si="24"/>
        <v>50</v>
      </c>
      <c r="D295" s="1" t="s">
        <v>28</v>
      </c>
      <c r="E295" s="1" t="s">
        <v>49</v>
      </c>
      <c r="F295" s="1" t="s">
        <v>38</v>
      </c>
      <c r="G295" s="1" t="str">
        <f t="shared" si="25"/>
        <v>Lead</v>
      </c>
      <c r="H295" s="1">
        <v>35536</v>
      </c>
      <c r="I295" s="1">
        <f t="shared" si="26"/>
        <v>35536</v>
      </c>
      <c r="J295" s="1">
        <v>3</v>
      </c>
      <c r="K295" s="14">
        <f t="shared" si="27"/>
        <v>3</v>
      </c>
      <c r="L295" s="1"/>
      <c r="M295" s="1">
        <f t="shared" si="28"/>
        <v>3</v>
      </c>
      <c r="N295" s="1">
        <v>3</v>
      </c>
      <c r="O295" s="1">
        <f t="shared" si="29"/>
        <v>3</v>
      </c>
      <c r="P295" s="1" t="s">
        <v>19</v>
      </c>
      <c r="Q295" s="1">
        <v>5</v>
      </c>
      <c r="R295" s="1" t="s">
        <v>20</v>
      </c>
      <c r="S295" s="1" t="s">
        <v>21</v>
      </c>
      <c r="T295" s="1">
        <v>34</v>
      </c>
      <c r="U295" s="3" t="s">
        <v>44</v>
      </c>
    </row>
    <row r="296" spans="1:21" x14ac:dyDescent="0.25">
      <c r="A296" s="2" t="s">
        <v>333</v>
      </c>
      <c r="B296" s="1">
        <v>29</v>
      </c>
      <c r="C296" s="14">
        <f t="shared" si="24"/>
        <v>29</v>
      </c>
      <c r="D296" s="1" t="s">
        <v>16</v>
      </c>
      <c r="E296" s="1" t="s">
        <v>17</v>
      </c>
      <c r="F296" s="1" t="s">
        <v>35</v>
      </c>
      <c r="G296" s="1" t="str">
        <f t="shared" si="25"/>
        <v>Manager</v>
      </c>
      <c r="H296" s="1">
        <v>95292</v>
      </c>
      <c r="I296" s="1">
        <f t="shared" si="26"/>
        <v>95292</v>
      </c>
      <c r="J296" s="1">
        <v>5</v>
      </c>
      <c r="K296" s="14">
        <f t="shared" si="27"/>
        <v>5</v>
      </c>
      <c r="L296" s="1">
        <v>2</v>
      </c>
      <c r="M296" s="1">
        <f t="shared" si="28"/>
        <v>2</v>
      </c>
      <c r="N296" s="1">
        <v>1</v>
      </c>
      <c r="O296" s="1">
        <f t="shared" si="29"/>
        <v>1</v>
      </c>
      <c r="P296" s="1" t="s">
        <v>20</v>
      </c>
      <c r="Q296" s="1">
        <v>20</v>
      </c>
      <c r="R296" s="1" t="s">
        <v>19</v>
      </c>
      <c r="S296" s="1" t="s">
        <v>30</v>
      </c>
      <c r="T296" s="1">
        <v>37</v>
      </c>
      <c r="U296" s="3" t="s">
        <v>31</v>
      </c>
    </row>
    <row r="297" spans="1:21" x14ac:dyDescent="0.25">
      <c r="A297" s="2" t="s">
        <v>334</v>
      </c>
      <c r="B297" s="1"/>
      <c r="C297" s="14">
        <f t="shared" si="24"/>
        <v>39</v>
      </c>
      <c r="D297" s="1" t="s">
        <v>16</v>
      </c>
      <c r="E297" s="1" t="s">
        <v>17</v>
      </c>
      <c r="F297" s="1" t="s">
        <v>35</v>
      </c>
      <c r="G297" s="1" t="str">
        <f t="shared" si="25"/>
        <v>Manager</v>
      </c>
      <c r="H297" s="1">
        <v>103664</v>
      </c>
      <c r="I297" s="1">
        <f t="shared" si="26"/>
        <v>103664</v>
      </c>
      <c r="J297" s="1">
        <v>1</v>
      </c>
      <c r="K297" s="14">
        <f t="shared" si="27"/>
        <v>1</v>
      </c>
      <c r="L297" s="1">
        <v>1</v>
      </c>
      <c r="M297" s="1">
        <f t="shared" si="28"/>
        <v>1</v>
      </c>
      <c r="N297" s="1">
        <v>1</v>
      </c>
      <c r="O297" s="1">
        <f t="shared" si="29"/>
        <v>1</v>
      </c>
      <c r="P297" s="1" t="s">
        <v>20</v>
      </c>
      <c r="Q297" s="1">
        <v>14</v>
      </c>
      <c r="R297" s="1" t="s">
        <v>20</v>
      </c>
      <c r="S297" s="1" t="s">
        <v>21</v>
      </c>
      <c r="T297" s="1">
        <v>75</v>
      </c>
      <c r="U297" s="3" t="s">
        <v>36</v>
      </c>
    </row>
    <row r="298" spans="1:21" x14ac:dyDescent="0.25">
      <c r="A298" s="2" t="s">
        <v>335</v>
      </c>
      <c r="B298" s="1">
        <v>51</v>
      </c>
      <c r="C298" s="14">
        <f t="shared" si="24"/>
        <v>51</v>
      </c>
      <c r="D298" s="1" t="s">
        <v>16</v>
      </c>
      <c r="E298" s="1" t="s">
        <v>51</v>
      </c>
      <c r="F298" s="1" t="s">
        <v>38</v>
      </c>
      <c r="G298" s="1" t="str">
        <f t="shared" si="25"/>
        <v>Lead</v>
      </c>
      <c r="H298" s="1">
        <v>107881</v>
      </c>
      <c r="I298" s="1">
        <f t="shared" si="26"/>
        <v>107881</v>
      </c>
      <c r="J298" s="1">
        <v>1</v>
      </c>
      <c r="K298" s="14">
        <f t="shared" si="27"/>
        <v>1</v>
      </c>
      <c r="L298" s="1">
        <v>3</v>
      </c>
      <c r="M298" s="1">
        <f t="shared" si="28"/>
        <v>3</v>
      </c>
      <c r="N298" s="1"/>
      <c r="O298" s="1">
        <f t="shared" si="29"/>
        <v>3</v>
      </c>
      <c r="P298" s="1" t="s">
        <v>19</v>
      </c>
      <c r="Q298" s="1">
        <v>16</v>
      </c>
      <c r="R298" s="1" t="s">
        <v>20</v>
      </c>
      <c r="S298" s="1" t="s">
        <v>26</v>
      </c>
      <c r="T298" s="1">
        <v>22</v>
      </c>
      <c r="U298" s="3" t="s">
        <v>42</v>
      </c>
    </row>
    <row r="299" spans="1:21" x14ac:dyDescent="0.25">
      <c r="A299" s="2" t="s">
        <v>336</v>
      </c>
      <c r="B299" s="1">
        <v>27</v>
      </c>
      <c r="C299" s="14">
        <f t="shared" si="24"/>
        <v>27</v>
      </c>
      <c r="D299" s="1" t="s">
        <v>16</v>
      </c>
      <c r="E299" s="1" t="s">
        <v>29</v>
      </c>
      <c r="F299" s="1" t="s">
        <v>35</v>
      </c>
      <c r="G299" s="1" t="str">
        <f t="shared" si="25"/>
        <v>Manager</v>
      </c>
      <c r="H299" s="1">
        <v>31928</v>
      </c>
      <c r="I299" s="1">
        <f t="shared" si="26"/>
        <v>31928</v>
      </c>
      <c r="J299" s="1">
        <v>4</v>
      </c>
      <c r="K299" s="14">
        <f t="shared" si="27"/>
        <v>4</v>
      </c>
      <c r="L299" s="1">
        <v>2</v>
      </c>
      <c r="M299" s="1">
        <f t="shared" si="28"/>
        <v>2</v>
      </c>
      <c r="N299" s="1">
        <v>5</v>
      </c>
      <c r="O299" s="1">
        <f t="shared" si="29"/>
        <v>5</v>
      </c>
      <c r="P299" s="1" t="s">
        <v>19</v>
      </c>
      <c r="Q299" s="1">
        <v>8</v>
      </c>
      <c r="R299" s="1" t="s">
        <v>19</v>
      </c>
      <c r="S299" s="1" t="s">
        <v>30</v>
      </c>
      <c r="T299" s="1">
        <v>57</v>
      </c>
      <c r="U299" s="3" t="s">
        <v>36</v>
      </c>
    </row>
    <row r="300" spans="1:21" x14ac:dyDescent="0.25">
      <c r="A300" s="2" t="s">
        <v>337</v>
      </c>
      <c r="B300" s="1">
        <v>31</v>
      </c>
      <c r="C300" s="14">
        <f t="shared" si="24"/>
        <v>31</v>
      </c>
      <c r="D300" s="1" t="s">
        <v>16</v>
      </c>
      <c r="E300" s="1" t="s">
        <v>24</v>
      </c>
      <c r="F300" s="1" t="s">
        <v>33</v>
      </c>
      <c r="G300" s="1" t="str">
        <f t="shared" si="25"/>
        <v>Engineer</v>
      </c>
      <c r="H300" s="1">
        <v>45222</v>
      </c>
      <c r="I300" s="1">
        <f t="shared" si="26"/>
        <v>45222</v>
      </c>
      <c r="J300" s="1">
        <v>4</v>
      </c>
      <c r="K300" s="14">
        <f t="shared" si="27"/>
        <v>4</v>
      </c>
      <c r="L300" s="1">
        <v>3</v>
      </c>
      <c r="M300" s="1">
        <f t="shared" si="28"/>
        <v>3</v>
      </c>
      <c r="N300" s="1">
        <v>2</v>
      </c>
      <c r="O300" s="1">
        <f t="shared" si="29"/>
        <v>2</v>
      </c>
      <c r="P300" s="1" t="s">
        <v>19</v>
      </c>
      <c r="Q300" s="1">
        <v>0</v>
      </c>
      <c r="R300" s="1" t="s">
        <v>19</v>
      </c>
      <c r="S300" s="1" t="s">
        <v>21</v>
      </c>
      <c r="T300" s="1">
        <v>78</v>
      </c>
      <c r="U300" s="3" t="s">
        <v>42</v>
      </c>
    </row>
    <row r="301" spans="1:21" x14ac:dyDescent="0.25">
      <c r="A301" s="2" t="s">
        <v>338</v>
      </c>
      <c r="B301" s="1">
        <v>30</v>
      </c>
      <c r="C301" s="14">
        <f t="shared" si="24"/>
        <v>30</v>
      </c>
      <c r="D301" s="1" t="s">
        <v>16</v>
      </c>
      <c r="E301" s="1" t="s">
        <v>24</v>
      </c>
      <c r="F301" s="1" t="s">
        <v>35</v>
      </c>
      <c r="G301" s="1" t="str">
        <f t="shared" si="25"/>
        <v>Manager</v>
      </c>
      <c r="H301" s="1">
        <v>112838</v>
      </c>
      <c r="I301" s="1">
        <f t="shared" si="26"/>
        <v>112838</v>
      </c>
      <c r="J301" s="1">
        <v>1</v>
      </c>
      <c r="K301" s="14">
        <f t="shared" si="27"/>
        <v>1</v>
      </c>
      <c r="L301" s="1">
        <v>3</v>
      </c>
      <c r="M301" s="1">
        <f t="shared" si="28"/>
        <v>3</v>
      </c>
      <c r="N301" s="1">
        <v>2</v>
      </c>
      <c r="O301" s="1">
        <f t="shared" si="29"/>
        <v>2</v>
      </c>
      <c r="P301" s="1" t="s">
        <v>20</v>
      </c>
      <c r="Q301" s="1">
        <v>9</v>
      </c>
      <c r="R301" s="1" t="s">
        <v>20</v>
      </c>
      <c r="S301" s="1" t="s">
        <v>30</v>
      </c>
      <c r="T301" s="1">
        <v>11</v>
      </c>
      <c r="U301" s="3" t="s">
        <v>22</v>
      </c>
    </row>
    <row r="302" spans="1:21" x14ac:dyDescent="0.25">
      <c r="A302" s="2" t="s">
        <v>339</v>
      </c>
      <c r="B302" s="1">
        <v>32</v>
      </c>
      <c r="C302" s="14">
        <f t="shared" si="24"/>
        <v>32</v>
      </c>
      <c r="D302" s="1" t="s">
        <v>16</v>
      </c>
      <c r="E302" s="1" t="s">
        <v>29</v>
      </c>
      <c r="F302" s="1" t="s">
        <v>18</v>
      </c>
      <c r="G302" s="1" t="str">
        <f t="shared" si="25"/>
        <v>Analyst</v>
      </c>
      <c r="H302" s="1">
        <v>106705</v>
      </c>
      <c r="I302" s="1">
        <f t="shared" si="26"/>
        <v>106705</v>
      </c>
      <c r="J302" s="1">
        <v>3</v>
      </c>
      <c r="K302" s="14">
        <f t="shared" si="27"/>
        <v>3</v>
      </c>
      <c r="L302" s="1">
        <v>4</v>
      </c>
      <c r="M302" s="1">
        <f t="shared" si="28"/>
        <v>4</v>
      </c>
      <c r="N302" s="1">
        <v>1</v>
      </c>
      <c r="O302" s="1">
        <f t="shared" si="29"/>
        <v>1</v>
      </c>
      <c r="P302" s="1" t="s">
        <v>19</v>
      </c>
      <c r="Q302" s="1">
        <v>1</v>
      </c>
      <c r="R302" s="1" t="s">
        <v>19</v>
      </c>
      <c r="S302" s="1" t="s">
        <v>21</v>
      </c>
      <c r="T302" s="1">
        <v>26</v>
      </c>
      <c r="U302" s="3" t="s">
        <v>36</v>
      </c>
    </row>
    <row r="303" spans="1:21" x14ac:dyDescent="0.25">
      <c r="A303" s="2" t="s">
        <v>340</v>
      </c>
      <c r="B303" s="1">
        <v>43</v>
      </c>
      <c r="C303" s="14">
        <f t="shared" si="24"/>
        <v>43</v>
      </c>
      <c r="D303" s="1" t="s">
        <v>28</v>
      </c>
      <c r="E303" s="1" t="s">
        <v>24</v>
      </c>
      <c r="F303" s="1" t="s">
        <v>18</v>
      </c>
      <c r="G303" s="1" t="str">
        <f t="shared" si="25"/>
        <v>Analyst</v>
      </c>
      <c r="H303" s="1">
        <v>114084</v>
      </c>
      <c r="I303" s="1">
        <f t="shared" si="26"/>
        <v>114084</v>
      </c>
      <c r="J303" s="1">
        <v>1</v>
      </c>
      <c r="K303" s="14">
        <f t="shared" si="27"/>
        <v>1</v>
      </c>
      <c r="L303" s="1">
        <v>3</v>
      </c>
      <c r="M303" s="1">
        <f t="shared" si="28"/>
        <v>3</v>
      </c>
      <c r="N303" s="1">
        <v>3</v>
      </c>
      <c r="O303" s="1">
        <f t="shared" si="29"/>
        <v>3</v>
      </c>
      <c r="P303" s="1" t="s">
        <v>19</v>
      </c>
      <c r="Q303" s="1">
        <v>3</v>
      </c>
      <c r="R303" s="1" t="s">
        <v>20</v>
      </c>
      <c r="S303" s="1" t="s">
        <v>30</v>
      </c>
      <c r="T303" s="1">
        <v>63</v>
      </c>
      <c r="U303" s="3" t="s">
        <v>36</v>
      </c>
    </row>
    <row r="304" spans="1:21" x14ac:dyDescent="0.25">
      <c r="A304" s="2" t="s">
        <v>341</v>
      </c>
      <c r="B304" s="1"/>
      <c r="C304" s="14">
        <f t="shared" si="24"/>
        <v>39</v>
      </c>
      <c r="D304" s="1" t="s">
        <v>28</v>
      </c>
      <c r="E304" s="1" t="s">
        <v>49</v>
      </c>
      <c r="F304" s="1" t="s">
        <v>38</v>
      </c>
      <c r="G304" s="1" t="str">
        <f t="shared" si="25"/>
        <v>Lead</v>
      </c>
      <c r="H304" s="1">
        <v>39860</v>
      </c>
      <c r="I304" s="1">
        <f t="shared" si="26"/>
        <v>39860</v>
      </c>
      <c r="J304" s="1">
        <v>1</v>
      </c>
      <c r="K304" s="14">
        <f t="shared" si="27"/>
        <v>1</v>
      </c>
      <c r="L304" s="1">
        <v>2</v>
      </c>
      <c r="M304" s="1">
        <f t="shared" si="28"/>
        <v>2</v>
      </c>
      <c r="N304" s="1"/>
      <c r="O304" s="1">
        <f t="shared" si="29"/>
        <v>3</v>
      </c>
      <c r="P304" s="1" t="s">
        <v>19</v>
      </c>
      <c r="Q304" s="1">
        <v>3</v>
      </c>
      <c r="R304" s="1" t="s">
        <v>20</v>
      </c>
      <c r="S304" s="1" t="s">
        <v>26</v>
      </c>
      <c r="T304" s="1">
        <v>66</v>
      </c>
      <c r="U304" s="3" t="s">
        <v>31</v>
      </c>
    </row>
    <row r="305" spans="1:21" x14ac:dyDescent="0.25">
      <c r="A305" s="2" t="s">
        <v>342</v>
      </c>
      <c r="B305" s="1">
        <v>49</v>
      </c>
      <c r="C305" s="14">
        <f t="shared" si="24"/>
        <v>49</v>
      </c>
      <c r="D305" s="1" t="s">
        <v>16</v>
      </c>
      <c r="E305" s="1" t="s">
        <v>24</v>
      </c>
      <c r="F305" s="1" t="s">
        <v>33</v>
      </c>
      <c r="G305" s="1" t="str">
        <f t="shared" si="25"/>
        <v>Engineer</v>
      </c>
      <c r="H305" s="1">
        <v>65002</v>
      </c>
      <c r="I305" s="1">
        <f t="shared" si="26"/>
        <v>65002</v>
      </c>
      <c r="J305" s="1">
        <v>5</v>
      </c>
      <c r="K305" s="14">
        <f t="shared" si="27"/>
        <v>5</v>
      </c>
      <c r="L305" s="1">
        <v>1</v>
      </c>
      <c r="M305" s="1">
        <f t="shared" si="28"/>
        <v>1</v>
      </c>
      <c r="N305" s="1">
        <v>2</v>
      </c>
      <c r="O305" s="1">
        <f t="shared" si="29"/>
        <v>2</v>
      </c>
      <c r="P305" s="1" t="s">
        <v>20</v>
      </c>
      <c r="Q305" s="1">
        <v>15</v>
      </c>
      <c r="R305" s="1" t="s">
        <v>19</v>
      </c>
      <c r="S305" s="1" t="s">
        <v>30</v>
      </c>
      <c r="T305" s="1">
        <v>61</v>
      </c>
      <c r="U305" s="3" t="s">
        <v>22</v>
      </c>
    </row>
    <row r="306" spans="1:21" x14ac:dyDescent="0.25">
      <c r="A306" s="2" t="s">
        <v>343</v>
      </c>
      <c r="B306" s="1">
        <v>25</v>
      </c>
      <c r="C306" s="14">
        <f t="shared" si="24"/>
        <v>25</v>
      </c>
      <c r="D306" s="1" t="s">
        <v>28</v>
      </c>
      <c r="E306" s="1" t="s">
        <v>17</v>
      </c>
      <c r="F306" s="1" t="s">
        <v>18</v>
      </c>
      <c r="G306" s="1" t="str">
        <f t="shared" si="25"/>
        <v>Analyst</v>
      </c>
      <c r="H306" s="1">
        <v>19620</v>
      </c>
      <c r="I306" s="1">
        <f t="shared" si="26"/>
        <v>19620</v>
      </c>
      <c r="J306" s="1">
        <v>5</v>
      </c>
      <c r="K306" s="14">
        <f t="shared" si="27"/>
        <v>5</v>
      </c>
      <c r="L306" s="1">
        <v>5</v>
      </c>
      <c r="M306" s="1">
        <f t="shared" si="28"/>
        <v>5</v>
      </c>
      <c r="N306" s="1">
        <v>5</v>
      </c>
      <c r="O306" s="1">
        <f t="shared" si="29"/>
        <v>5</v>
      </c>
      <c r="P306" s="1" t="s">
        <v>19</v>
      </c>
      <c r="Q306" s="1">
        <v>10</v>
      </c>
      <c r="R306" s="1" t="s">
        <v>19</v>
      </c>
      <c r="S306" s="1" t="s">
        <v>30</v>
      </c>
      <c r="T306" s="1">
        <v>36</v>
      </c>
      <c r="U306" s="3" t="s">
        <v>42</v>
      </c>
    </row>
    <row r="307" spans="1:21" x14ac:dyDescent="0.25">
      <c r="A307" s="2" t="s">
        <v>344</v>
      </c>
      <c r="B307" s="1">
        <v>43</v>
      </c>
      <c r="C307" s="14">
        <f t="shared" si="24"/>
        <v>43</v>
      </c>
      <c r="D307" s="1" t="s">
        <v>28</v>
      </c>
      <c r="E307" s="1" t="s">
        <v>51</v>
      </c>
      <c r="F307" s="1" t="s">
        <v>25</v>
      </c>
      <c r="G307" s="1" t="str">
        <f t="shared" si="25"/>
        <v>Associate</v>
      </c>
      <c r="H307" s="1">
        <v>98335</v>
      </c>
      <c r="I307" s="1">
        <f t="shared" si="26"/>
        <v>98335</v>
      </c>
      <c r="J307" s="1">
        <v>1</v>
      </c>
      <c r="K307" s="14">
        <f t="shared" si="27"/>
        <v>1</v>
      </c>
      <c r="L307" s="1">
        <v>1</v>
      </c>
      <c r="M307" s="1">
        <f t="shared" si="28"/>
        <v>1</v>
      </c>
      <c r="N307" s="1">
        <v>2</v>
      </c>
      <c r="O307" s="1">
        <f t="shared" si="29"/>
        <v>2</v>
      </c>
      <c r="P307" s="1" t="s">
        <v>20</v>
      </c>
      <c r="Q307" s="1">
        <v>15</v>
      </c>
      <c r="R307" s="1" t="s">
        <v>19</v>
      </c>
      <c r="S307" s="1" t="s">
        <v>21</v>
      </c>
      <c r="T307" s="1">
        <v>67</v>
      </c>
      <c r="U307" s="3" t="s">
        <v>36</v>
      </c>
    </row>
    <row r="308" spans="1:21" x14ac:dyDescent="0.25">
      <c r="A308" s="2" t="s">
        <v>345</v>
      </c>
      <c r="B308" s="1">
        <v>36</v>
      </c>
      <c r="C308" s="14">
        <f t="shared" si="24"/>
        <v>36</v>
      </c>
      <c r="D308" s="1" t="s">
        <v>28</v>
      </c>
      <c r="E308" s="1" t="s">
        <v>29</v>
      </c>
      <c r="F308" s="1" t="s">
        <v>35</v>
      </c>
      <c r="G308" s="1" t="str">
        <f t="shared" si="25"/>
        <v>Manager</v>
      </c>
      <c r="H308" s="1">
        <v>84444</v>
      </c>
      <c r="I308" s="1">
        <f t="shared" si="26"/>
        <v>84444</v>
      </c>
      <c r="J308" s="1">
        <v>2</v>
      </c>
      <c r="K308" s="14">
        <f t="shared" si="27"/>
        <v>2</v>
      </c>
      <c r="L308" s="1">
        <v>5</v>
      </c>
      <c r="M308" s="1">
        <f t="shared" si="28"/>
        <v>5</v>
      </c>
      <c r="N308" s="1">
        <v>4</v>
      </c>
      <c r="O308" s="1">
        <f t="shared" si="29"/>
        <v>4</v>
      </c>
      <c r="P308" s="1" t="s">
        <v>20</v>
      </c>
      <c r="Q308" s="1">
        <v>7</v>
      </c>
      <c r="R308" s="1" t="s">
        <v>19</v>
      </c>
      <c r="S308" s="1" t="s">
        <v>30</v>
      </c>
      <c r="T308" s="1">
        <v>61</v>
      </c>
      <c r="U308" s="3" t="s">
        <v>31</v>
      </c>
    </row>
    <row r="309" spans="1:21" x14ac:dyDescent="0.25">
      <c r="A309" s="2" t="s">
        <v>346</v>
      </c>
      <c r="B309" s="1">
        <v>49</v>
      </c>
      <c r="C309" s="14">
        <f t="shared" si="24"/>
        <v>49</v>
      </c>
      <c r="D309" s="1" t="s">
        <v>16</v>
      </c>
      <c r="E309" s="1" t="s">
        <v>49</v>
      </c>
      <c r="F309" s="1" t="s">
        <v>33</v>
      </c>
      <c r="G309" s="1" t="str">
        <f t="shared" si="25"/>
        <v>Engineer</v>
      </c>
      <c r="H309" s="1">
        <v>59426</v>
      </c>
      <c r="I309" s="1">
        <f t="shared" si="26"/>
        <v>59426</v>
      </c>
      <c r="J309" s="1">
        <v>1</v>
      </c>
      <c r="K309" s="14">
        <f t="shared" si="27"/>
        <v>1</v>
      </c>
      <c r="L309" s="1">
        <v>4</v>
      </c>
      <c r="M309" s="1">
        <f t="shared" si="28"/>
        <v>4</v>
      </c>
      <c r="N309" s="1">
        <v>1</v>
      </c>
      <c r="O309" s="1">
        <f t="shared" si="29"/>
        <v>1</v>
      </c>
      <c r="P309" s="1" t="s">
        <v>19</v>
      </c>
      <c r="Q309" s="1">
        <v>12</v>
      </c>
      <c r="R309" s="1" t="s">
        <v>20</v>
      </c>
      <c r="S309" s="1" t="s">
        <v>21</v>
      </c>
      <c r="T309" s="1">
        <v>76</v>
      </c>
      <c r="U309" s="3" t="s">
        <v>31</v>
      </c>
    </row>
    <row r="310" spans="1:21" x14ac:dyDescent="0.25">
      <c r="A310" s="2" t="s">
        <v>347</v>
      </c>
      <c r="B310" s="1">
        <v>21</v>
      </c>
      <c r="C310" s="14">
        <f t="shared" si="24"/>
        <v>21</v>
      </c>
      <c r="D310" s="1" t="s">
        <v>16</v>
      </c>
      <c r="E310" s="1" t="s">
        <v>24</v>
      </c>
      <c r="F310" s="1" t="s">
        <v>25</v>
      </c>
      <c r="G310" s="1" t="str">
        <f t="shared" si="25"/>
        <v>Associate</v>
      </c>
      <c r="H310" s="1">
        <v>101563</v>
      </c>
      <c r="I310" s="1">
        <f t="shared" si="26"/>
        <v>101563</v>
      </c>
      <c r="J310" s="1">
        <v>3</v>
      </c>
      <c r="K310" s="14">
        <f t="shared" si="27"/>
        <v>3</v>
      </c>
      <c r="L310" s="1">
        <v>5</v>
      </c>
      <c r="M310" s="1">
        <f t="shared" si="28"/>
        <v>5</v>
      </c>
      <c r="N310" s="1">
        <v>5</v>
      </c>
      <c r="O310" s="1">
        <f t="shared" si="29"/>
        <v>5</v>
      </c>
      <c r="P310" s="1" t="s">
        <v>19</v>
      </c>
      <c r="Q310" s="1">
        <v>20</v>
      </c>
      <c r="R310" s="1" t="s">
        <v>20</v>
      </c>
      <c r="S310" s="1" t="s">
        <v>30</v>
      </c>
      <c r="T310" s="1">
        <v>51</v>
      </c>
      <c r="U310" s="3" t="s">
        <v>22</v>
      </c>
    </row>
    <row r="311" spans="1:21" x14ac:dyDescent="0.25">
      <c r="A311" s="2" t="s">
        <v>348</v>
      </c>
      <c r="B311" s="1">
        <v>35</v>
      </c>
      <c r="C311" s="14">
        <f t="shared" si="24"/>
        <v>35</v>
      </c>
      <c r="D311" s="1" t="s">
        <v>28</v>
      </c>
      <c r="E311" s="1" t="s">
        <v>29</v>
      </c>
      <c r="F311" s="1" t="s">
        <v>25</v>
      </c>
      <c r="G311" s="1" t="str">
        <f t="shared" si="25"/>
        <v>Associate</v>
      </c>
      <c r="H311" s="1">
        <v>118586</v>
      </c>
      <c r="I311" s="1">
        <f t="shared" si="26"/>
        <v>118586</v>
      </c>
      <c r="J311" s="1"/>
      <c r="K311" s="14">
        <f t="shared" si="27"/>
        <v>3</v>
      </c>
      <c r="L311" s="1">
        <v>5</v>
      </c>
      <c r="M311" s="1">
        <f t="shared" si="28"/>
        <v>5</v>
      </c>
      <c r="N311" s="1">
        <v>4</v>
      </c>
      <c r="O311" s="1">
        <f t="shared" si="29"/>
        <v>4</v>
      </c>
      <c r="P311" s="1" t="s">
        <v>20</v>
      </c>
      <c r="Q311" s="1">
        <v>14</v>
      </c>
      <c r="R311" s="1" t="s">
        <v>19</v>
      </c>
      <c r="S311" s="1" t="s">
        <v>21</v>
      </c>
      <c r="T311" s="1">
        <v>33</v>
      </c>
      <c r="U311" s="3" t="s">
        <v>22</v>
      </c>
    </row>
    <row r="312" spans="1:21" x14ac:dyDescent="0.25">
      <c r="A312" s="2" t="s">
        <v>349</v>
      </c>
      <c r="B312" s="1">
        <v>42</v>
      </c>
      <c r="C312" s="14">
        <f t="shared" si="24"/>
        <v>42</v>
      </c>
      <c r="D312" s="1" t="s">
        <v>28</v>
      </c>
      <c r="E312" s="1" t="s">
        <v>17</v>
      </c>
      <c r="F312" s="1" t="s">
        <v>18</v>
      </c>
      <c r="G312" s="1" t="str">
        <f t="shared" si="25"/>
        <v>Analyst</v>
      </c>
      <c r="H312" s="1">
        <v>89786</v>
      </c>
      <c r="I312" s="1">
        <f t="shared" si="26"/>
        <v>89786</v>
      </c>
      <c r="J312" s="1">
        <v>5</v>
      </c>
      <c r="K312" s="14">
        <f t="shared" si="27"/>
        <v>5</v>
      </c>
      <c r="L312" s="1">
        <v>3</v>
      </c>
      <c r="M312" s="1">
        <f t="shared" si="28"/>
        <v>3</v>
      </c>
      <c r="N312" s="1">
        <v>1</v>
      </c>
      <c r="O312" s="1">
        <f t="shared" si="29"/>
        <v>1</v>
      </c>
      <c r="P312" s="1" t="s">
        <v>19</v>
      </c>
      <c r="Q312" s="1">
        <v>5</v>
      </c>
      <c r="R312" s="1" t="s">
        <v>20</v>
      </c>
      <c r="S312" s="1" t="s">
        <v>21</v>
      </c>
      <c r="T312" s="1">
        <v>57</v>
      </c>
      <c r="U312" s="3" t="s">
        <v>22</v>
      </c>
    </row>
    <row r="313" spans="1:21" x14ac:dyDescent="0.25">
      <c r="A313" s="2" t="s">
        <v>350</v>
      </c>
      <c r="B313" s="1">
        <v>37</v>
      </c>
      <c r="C313" s="14">
        <f t="shared" si="24"/>
        <v>37</v>
      </c>
      <c r="D313" s="1" t="s">
        <v>16</v>
      </c>
      <c r="E313" s="1" t="s">
        <v>51</v>
      </c>
      <c r="F313" s="1" t="s">
        <v>35</v>
      </c>
      <c r="G313" s="1" t="str">
        <f t="shared" si="25"/>
        <v>Manager</v>
      </c>
      <c r="H313" s="1">
        <v>69497</v>
      </c>
      <c r="I313" s="1">
        <f t="shared" si="26"/>
        <v>69497</v>
      </c>
      <c r="J313" s="1">
        <v>2</v>
      </c>
      <c r="K313" s="14">
        <f t="shared" si="27"/>
        <v>2</v>
      </c>
      <c r="L313" s="1">
        <v>4</v>
      </c>
      <c r="M313" s="1">
        <f t="shared" si="28"/>
        <v>4</v>
      </c>
      <c r="N313" s="1">
        <v>2</v>
      </c>
      <c r="O313" s="1">
        <f t="shared" si="29"/>
        <v>2</v>
      </c>
      <c r="P313" s="1" t="s">
        <v>20</v>
      </c>
      <c r="Q313" s="1">
        <v>3</v>
      </c>
      <c r="R313" s="1" t="s">
        <v>20</v>
      </c>
      <c r="S313" s="1" t="s">
        <v>21</v>
      </c>
      <c r="T313" s="1">
        <v>80</v>
      </c>
      <c r="U313" s="3" t="s">
        <v>22</v>
      </c>
    </row>
    <row r="314" spans="1:21" x14ac:dyDescent="0.25">
      <c r="A314" s="2" t="s">
        <v>351</v>
      </c>
      <c r="B314" s="1">
        <v>49</v>
      </c>
      <c r="C314" s="14">
        <f t="shared" si="24"/>
        <v>49</v>
      </c>
      <c r="D314" s="1" t="s">
        <v>28</v>
      </c>
      <c r="E314" s="1" t="s">
        <v>17</v>
      </c>
      <c r="F314" s="1" t="s">
        <v>25</v>
      </c>
      <c r="G314" s="1" t="str">
        <f t="shared" si="25"/>
        <v>Associate</v>
      </c>
      <c r="H314" s="1"/>
      <c r="I314" s="1">
        <f t="shared" si="26"/>
        <v>68925</v>
      </c>
      <c r="J314" s="1">
        <v>2</v>
      </c>
      <c r="K314" s="14">
        <f t="shared" si="27"/>
        <v>2</v>
      </c>
      <c r="L314" s="1">
        <v>4</v>
      </c>
      <c r="M314" s="1">
        <f t="shared" si="28"/>
        <v>4</v>
      </c>
      <c r="N314" s="1">
        <v>1</v>
      </c>
      <c r="O314" s="1">
        <f t="shared" si="29"/>
        <v>1</v>
      </c>
      <c r="P314" s="1" t="s">
        <v>19</v>
      </c>
      <c r="Q314" s="1">
        <v>17</v>
      </c>
      <c r="R314" s="1" t="s">
        <v>20</v>
      </c>
      <c r="S314" s="1" t="s">
        <v>26</v>
      </c>
      <c r="T314" s="1">
        <v>66</v>
      </c>
      <c r="U314" s="3" t="s">
        <v>31</v>
      </c>
    </row>
    <row r="315" spans="1:21" x14ac:dyDescent="0.25">
      <c r="A315" s="2" t="s">
        <v>352</v>
      </c>
      <c r="B315" s="1"/>
      <c r="C315" s="14">
        <f t="shared" si="24"/>
        <v>39</v>
      </c>
      <c r="D315" s="1" t="s">
        <v>16</v>
      </c>
      <c r="E315" s="1" t="s">
        <v>17</v>
      </c>
      <c r="F315" s="1" t="s">
        <v>41</v>
      </c>
      <c r="G315" s="1" t="str">
        <f t="shared" si="25"/>
        <v>Executive</v>
      </c>
      <c r="H315" s="1">
        <v>31573</v>
      </c>
      <c r="I315" s="1">
        <f t="shared" si="26"/>
        <v>31573</v>
      </c>
      <c r="J315" s="1">
        <v>4</v>
      </c>
      <c r="K315" s="14">
        <f t="shared" si="27"/>
        <v>4</v>
      </c>
      <c r="L315" s="1">
        <v>5</v>
      </c>
      <c r="M315" s="1">
        <f t="shared" si="28"/>
        <v>5</v>
      </c>
      <c r="N315" s="1">
        <v>5</v>
      </c>
      <c r="O315" s="1">
        <f t="shared" si="29"/>
        <v>5</v>
      </c>
      <c r="P315" s="1" t="s">
        <v>20</v>
      </c>
      <c r="Q315" s="1">
        <v>16</v>
      </c>
      <c r="R315" s="1" t="s">
        <v>20</v>
      </c>
      <c r="S315" s="1" t="s">
        <v>30</v>
      </c>
      <c r="T315" s="1">
        <v>36</v>
      </c>
      <c r="U315" s="3" t="s">
        <v>36</v>
      </c>
    </row>
    <row r="316" spans="1:21" x14ac:dyDescent="0.25">
      <c r="A316" s="2" t="s">
        <v>353</v>
      </c>
      <c r="B316" s="1">
        <v>46</v>
      </c>
      <c r="C316" s="14">
        <f t="shared" si="24"/>
        <v>46</v>
      </c>
      <c r="D316" s="1" t="s">
        <v>28</v>
      </c>
      <c r="E316" s="1" t="s">
        <v>29</v>
      </c>
      <c r="F316" s="1" t="s">
        <v>33</v>
      </c>
      <c r="G316" s="1" t="str">
        <f t="shared" si="25"/>
        <v>Engineer</v>
      </c>
      <c r="H316" s="1">
        <v>35481</v>
      </c>
      <c r="I316" s="1">
        <f t="shared" si="26"/>
        <v>35481</v>
      </c>
      <c r="J316" s="1">
        <v>2</v>
      </c>
      <c r="K316" s="14">
        <f t="shared" si="27"/>
        <v>2</v>
      </c>
      <c r="L316" s="1">
        <v>4</v>
      </c>
      <c r="M316" s="1">
        <f t="shared" si="28"/>
        <v>4</v>
      </c>
      <c r="N316" s="1">
        <v>5</v>
      </c>
      <c r="O316" s="1">
        <f t="shared" si="29"/>
        <v>5</v>
      </c>
      <c r="P316" s="1" t="s">
        <v>20</v>
      </c>
      <c r="Q316" s="1">
        <v>17</v>
      </c>
      <c r="R316" s="1" t="s">
        <v>20</v>
      </c>
      <c r="S316" s="1" t="s">
        <v>26</v>
      </c>
      <c r="T316" s="1">
        <v>75</v>
      </c>
      <c r="U316" s="3" t="s">
        <v>44</v>
      </c>
    </row>
    <row r="317" spans="1:21" x14ac:dyDescent="0.25">
      <c r="A317" s="2" t="s">
        <v>354</v>
      </c>
      <c r="B317" s="1">
        <v>33</v>
      </c>
      <c r="C317" s="14">
        <f t="shared" si="24"/>
        <v>33</v>
      </c>
      <c r="D317" s="1" t="s">
        <v>16</v>
      </c>
      <c r="E317" s="1" t="s">
        <v>24</v>
      </c>
      <c r="F317" s="1" t="s">
        <v>38</v>
      </c>
      <c r="G317" s="1" t="str">
        <f t="shared" si="25"/>
        <v>Lead</v>
      </c>
      <c r="H317" s="1">
        <v>56086</v>
      </c>
      <c r="I317" s="1">
        <f t="shared" si="26"/>
        <v>56086</v>
      </c>
      <c r="J317" s="1">
        <v>3</v>
      </c>
      <c r="K317" s="14">
        <f t="shared" si="27"/>
        <v>3</v>
      </c>
      <c r="L317" s="1">
        <v>2</v>
      </c>
      <c r="M317" s="1">
        <f t="shared" si="28"/>
        <v>2</v>
      </c>
      <c r="N317" s="1">
        <v>2</v>
      </c>
      <c r="O317" s="1">
        <f t="shared" si="29"/>
        <v>2</v>
      </c>
      <c r="P317" s="1" t="s">
        <v>20</v>
      </c>
      <c r="Q317" s="1">
        <v>3</v>
      </c>
      <c r="R317" s="1" t="s">
        <v>20</v>
      </c>
      <c r="S317" s="1" t="s">
        <v>26</v>
      </c>
      <c r="T317" s="1">
        <v>66</v>
      </c>
      <c r="U317" s="3" t="s">
        <v>31</v>
      </c>
    </row>
    <row r="318" spans="1:21" x14ac:dyDescent="0.25">
      <c r="A318" s="2" t="s">
        <v>355</v>
      </c>
      <c r="B318" s="1">
        <v>57</v>
      </c>
      <c r="C318" s="14">
        <f t="shared" si="24"/>
        <v>57</v>
      </c>
      <c r="D318" s="1" t="s">
        <v>28</v>
      </c>
      <c r="E318" s="1" t="s">
        <v>17</v>
      </c>
      <c r="F318" s="1" t="s">
        <v>38</v>
      </c>
      <c r="G318" s="1" t="str">
        <f t="shared" si="25"/>
        <v>Lead</v>
      </c>
      <c r="H318" s="1">
        <v>87979</v>
      </c>
      <c r="I318" s="1">
        <f t="shared" si="26"/>
        <v>87979</v>
      </c>
      <c r="J318" s="1">
        <v>3</v>
      </c>
      <c r="K318" s="14">
        <f t="shared" si="27"/>
        <v>3</v>
      </c>
      <c r="L318" s="1">
        <v>4</v>
      </c>
      <c r="M318" s="1">
        <f t="shared" si="28"/>
        <v>4</v>
      </c>
      <c r="N318" s="1">
        <v>1</v>
      </c>
      <c r="O318" s="1">
        <f t="shared" si="29"/>
        <v>1</v>
      </c>
      <c r="P318" s="1" t="s">
        <v>19</v>
      </c>
      <c r="Q318" s="1">
        <v>0</v>
      </c>
      <c r="R318" s="1" t="s">
        <v>20</v>
      </c>
      <c r="S318" s="1" t="s">
        <v>21</v>
      </c>
      <c r="T318" s="1">
        <v>11</v>
      </c>
      <c r="U318" s="3" t="s">
        <v>22</v>
      </c>
    </row>
    <row r="319" spans="1:21" x14ac:dyDescent="0.25">
      <c r="A319" s="2" t="s">
        <v>356</v>
      </c>
      <c r="B319" s="1">
        <v>33</v>
      </c>
      <c r="C319" s="14">
        <f t="shared" si="24"/>
        <v>33</v>
      </c>
      <c r="D319" s="1" t="s">
        <v>28</v>
      </c>
      <c r="E319" s="1" t="s">
        <v>51</v>
      </c>
      <c r="F319" s="1" t="s">
        <v>18</v>
      </c>
      <c r="G319" s="1" t="str">
        <f t="shared" si="25"/>
        <v>Analyst</v>
      </c>
      <c r="H319" s="1">
        <v>107573</v>
      </c>
      <c r="I319" s="1">
        <f t="shared" si="26"/>
        <v>107573</v>
      </c>
      <c r="J319" s="1">
        <v>3</v>
      </c>
      <c r="K319" s="14">
        <f t="shared" si="27"/>
        <v>3</v>
      </c>
      <c r="L319" s="1">
        <v>2</v>
      </c>
      <c r="M319" s="1">
        <f t="shared" si="28"/>
        <v>2</v>
      </c>
      <c r="N319" s="1">
        <v>1</v>
      </c>
      <c r="O319" s="1">
        <f t="shared" si="29"/>
        <v>1</v>
      </c>
      <c r="P319" s="1" t="s">
        <v>20</v>
      </c>
      <c r="Q319" s="1">
        <v>6</v>
      </c>
      <c r="R319" s="1" t="s">
        <v>19</v>
      </c>
      <c r="S319" s="1" t="s">
        <v>30</v>
      </c>
      <c r="T319" s="1">
        <v>62</v>
      </c>
      <c r="U319" s="3" t="s">
        <v>22</v>
      </c>
    </row>
    <row r="320" spans="1:21" x14ac:dyDescent="0.25">
      <c r="A320" s="2" t="s">
        <v>357</v>
      </c>
      <c r="B320" s="1">
        <v>56</v>
      </c>
      <c r="C320" s="14">
        <f t="shared" si="24"/>
        <v>56</v>
      </c>
      <c r="D320" s="1" t="s">
        <v>16</v>
      </c>
      <c r="E320" s="1" t="s">
        <v>17</v>
      </c>
      <c r="F320" s="1" t="s">
        <v>38</v>
      </c>
      <c r="G320" s="1" t="str">
        <f t="shared" si="25"/>
        <v>Lead</v>
      </c>
      <c r="H320" s="1">
        <v>91566</v>
      </c>
      <c r="I320" s="1">
        <f t="shared" si="26"/>
        <v>91566</v>
      </c>
      <c r="J320" s="1">
        <v>4</v>
      </c>
      <c r="K320" s="14">
        <f t="shared" si="27"/>
        <v>4</v>
      </c>
      <c r="L320" s="1">
        <v>2</v>
      </c>
      <c r="M320" s="1">
        <f t="shared" si="28"/>
        <v>2</v>
      </c>
      <c r="N320" s="1">
        <v>5</v>
      </c>
      <c r="O320" s="1">
        <f t="shared" si="29"/>
        <v>5</v>
      </c>
      <c r="P320" s="1" t="s">
        <v>20</v>
      </c>
      <c r="Q320" s="1">
        <v>1</v>
      </c>
      <c r="R320" s="1" t="s">
        <v>20</v>
      </c>
      <c r="S320" s="1" t="s">
        <v>30</v>
      </c>
      <c r="T320" s="1">
        <v>58</v>
      </c>
      <c r="U320" s="3" t="s">
        <v>36</v>
      </c>
    </row>
    <row r="321" spans="1:21" x14ac:dyDescent="0.25">
      <c r="A321" s="2" t="s">
        <v>358</v>
      </c>
      <c r="B321" s="1">
        <v>56</v>
      </c>
      <c r="C321" s="14">
        <f t="shared" si="24"/>
        <v>56</v>
      </c>
      <c r="D321" s="1" t="s">
        <v>16</v>
      </c>
      <c r="E321" s="1" t="s">
        <v>40</v>
      </c>
      <c r="F321" s="1" t="s">
        <v>38</v>
      </c>
      <c r="G321" s="1" t="str">
        <f t="shared" si="25"/>
        <v>Lead</v>
      </c>
      <c r="H321" s="1">
        <v>50943</v>
      </c>
      <c r="I321" s="1">
        <f t="shared" si="26"/>
        <v>50943</v>
      </c>
      <c r="J321" s="1">
        <v>2</v>
      </c>
      <c r="K321" s="14">
        <f t="shared" si="27"/>
        <v>2</v>
      </c>
      <c r="L321" s="1">
        <v>5</v>
      </c>
      <c r="M321" s="1">
        <f t="shared" si="28"/>
        <v>5</v>
      </c>
      <c r="N321" s="1">
        <v>4</v>
      </c>
      <c r="O321" s="1">
        <f t="shared" si="29"/>
        <v>4</v>
      </c>
      <c r="P321" s="1" t="s">
        <v>19</v>
      </c>
      <c r="Q321" s="1">
        <v>20</v>
      </c>
      <c r="R321" s="1" t="s">
        <v>20</v>
      </c>
      <c r="S321" s="1" t="s">
        <v>26</v>
      </c>
      <c r="T321" s="1">
        <v>74</v>
      </c>
      <c r="U321" s="3" t="s">
        <v>31</v>
      </c>
    </row>
    <row r="322" spans="1:21" x14ac:dyDescent="0.25">
      <c r="A322" s="2" t="s">
        <v>359</v>
      </c>
      <c r="B322" s="1">
        <v>33</v>
      </c>
      <c r="C322" s="14">
        <f t="shared" ref="C322:C385" si="30">IF(B322="",39,B322)</f>
        <v>33</v>
      </c>
      <c r="D322" s="1" t="s">
        <v>16</v>
      </c>
      <c r="E322" s="1" t="s">
        <v>29</v>
      </c>
      <c r="F322" s="1" t="s">
        <v>33</v>
      </c>
      <c r="G322" s="1" t="str">
        <f t="shared" ref="G322:G385" si="31">PROPER(F322)</f>
        <v>Engineer</v>
      </c>
      <c r="H322" s="1">
        <v>41255</v>
      </c>
      <c r="I322" s="1">
        <f t="shared" ref="I322:I385" si="32">IF(H322="",68925,H322)</f>
        <v>41255</v>
      </c>
      <c r="J322" s="1">
        <v>1</v>
      </c>
      <c r="K322" s="14">
        <f t="shared" ref="K322:K385" si="33">IF(J322="",3,J322)</f>
        <v>1</v>
      </c>
      <c r="L322" s="1">
        <v>2</v>
      </c>
      <c r="M322" s="1">
        <f t="shared" ref="M322:M385" si="34">IF(L322="",3,L322)</f>
        <v>2</v>
      </c>
      <c r="N322" s="1">
        <v>2</v>
      </c>
      <c r="O322" s="1">
        <f t="shared" ref="O322:O385" si="35">IF(N322="",3,N322)</f>
        <v>2</v>
      </c>
      <c r="P322" s="1" t="s">
        <v>19</v>
      </c>
      <c r="Q322" s="1">
        <v>12</v>
      </c>
      <c r="R322" s="1" t="s">
        <v>19</v>
      </c>
      <c r="S322" s="1" t="s">
        <v>30</v>
      </c>
      <c r="T322" s="1">
        <v>40</v>
      </c>
      <c r="U322" s="3" t="s">
        <v>31</v>
      </c>
    </row>
    <row r="323" spans="1:21" x14ac:dyDescent="0.25">
      <c r="A323" s="2" t="s">
        <v>360</v>
      </c>
      <c r="B323" s="1">
        <v>37</v>
      </c>
      <c r="C323" s="14">
        <f t="shared" si="30"/>
        <v>37</v>
      </c>
      <c r="D323" s="1" t="s">
        <v>16</v>
      </c>
      <c r="E323" s="1" t="s">
        <v>51</v>
      </c>
      <c r="F323" s="1" t="s">
        <v>25</v>
      </c>
      <c r="G323" s="1" t="str">
        <f t="shared" si="31"/>
        <v>Associate</v>
      </c>
      <c r="H323" s="1">
        <v>51425</v>
      </c>
      <c r="I323" s="1">
        <f t="shared" si="32"/>
        <v>51425</v>
      </c>
      <c r="J323" s="1">
        <v>1</v>
      </c>
      <c r="K323" s="14">
        <f t="shared" si="33"/>
        <v>1</v>
      </c>
      <c r="L323" s="1">
        <v>3</v>
      </c>
      <c r="M323" s="1">
        <f t="shared" si="34"/>
        <v>3</v>
      </c>
      <c r="N323" s="1">
        <v>4</v>
      </c>
      <c r="O323" s="1">
        <f t="shared" si="35"/>
        <v>4</v>
      </c>
      <c r="P323" s="1" t="s">
        <v>19</v>
      </c>
      <c r="Q323" s="1">
        <v>1</v>
      </c>
      <c r="R323" s="1" t="s">
        <v>19</v>
      </c>
      <c r="S323" s="1" t="s">
        <v>30</v>
      </c>
      <c r="T323" s="1">
        <v>11</v>
      </c>
      <c r="U323" s="3" t="s">
        <v>31</v>
      </c>
    </row>
    <row r="324" spans="1:21" x14ac:dyDescent="0.25">
      <c r="A324" s="2" t="s">
        <v>361</v>
      </c>
      <c r="B324" s="1">
        <v>40</v>
      </c>
      <c r="C324" s="14">
        <f t="shared" si="30"/>
        <v>40</v>
      </c>
      <c r="D324" s="1" t="s">
        <v>28</v>
      </c>
      <c r="E324" s="1" t="s">
        <v>24</v>
      </c>
      <c r="F324" s="1" t="s">
        <v>25</v>
      </c>
      <c r="G324" s="1" t="str">
        <f t="shared" si="31"/>
        <v>Associate</v>
      </c>
      <c r="H324" s="1">
        <v>64934</v>
      </c>
      <c r="I324" s="1">
        <f t="shared" si="32"/>
        <v>64934</v>
      </c>
      <c r="J324" s="1">
        <v>1</v>
      </c>
      <c r="K324" s="14">
        <f t="shared" si="33"/>
        <v>1</v>
      </c>
      <c r="L324" s="1">
        <v>3</v>
      </c>
      <c r="M324" s="1">
        <f t="shared" si="34"/>
        <v>3</v>
      </c>
      <c r="N324" s="1">
        <v>5</v>
      </c>
      <c r="O324" s="1">
        <f t="shared" si="35"/>
        <v>5</v>
      </c>
      <c r="P324" s="1" t="s">
        <v>19</v>
      </c>
      <c r="Q324" s="1">
        <v>5</v>
      </c>
      <c r="R324" s="1" t="s">
        <v>19</v>
      </c>
      <c r="S324" s="1" t="s">
        <v>26</v>
      </c>
      <c r="T324" s="1">
        <v>25</v>
      </c>
      <c r="U324" s="3" t="s">
        <v>42</v>
      </c>
    </row>
    <row r="325" spans="1:21" x14ac:dyDescent="0.25">
      <c r="A325" s="2" t="s">
        <v>362</v>
      </c>
      <c r="B325" s="1">
        <v>55</v>
      </c>
      <c r="C325" s="14">
        <f t="shared" si="30"/>
        <v>55</v>
      </c>
      <c r="D325" s="1" t="s">
        <v>28</v>
      </c>
      <c r="E325" s="1" t="s">
        <v>40</v>
      </c>
      <c r="F325" s="1" t="s">
        <v>18</v>
      </c>
      <c r="G325" s="1" t="str">
        <f t="shared" si="31"/>
        <v>Analyst</v>
      </c>
      <c r="H325" s="1"/>
      <c r="I325" s="1">
        <f t="shared" si="32"/>
        <v>68925</v>
      </c>
      <c r="J325" s="1">
        <v>2</v>
      </c>
      <c r="K325" s="14">
        <f t="shared" si="33"/>
        <v>2</v>
      </c>
      <c r="L325" s="1">
        <v>3</v>
      </c>
      <c r="M325" s="1">
        <f t="shared" si="34"/>
        <v>3</v>
      </c>
      <c r="N325" s="1">
        <v>3</v>
      </c>
      <c r="O325" s="1">
        <f t="shared" si="35"/>
        <v>3</v>
      </c>
      <c r="P325" s="1" t="s">
        <v>20</v>
      </c>
      <c r="Q325" s="1">
        <v>9</v>
      </c>
      <c r="R325" s="1" t="s">
        <v>19</v>
      </c>
      <c r="S325" s="1" t="s">
        <v>26</v>
      </c>
      <c r="T325" s="1">
        <v>72</v>
      </c>
      <c r="U325" s="3" t="s">
        <v>42</v>
      </c>
    </row>
    <row r="326" spans="1:21" x14ac:dyDescent="0.25">
      <c r="A326" s="2" t="s">
        <v>363</v>
      </c>
      <c r="B326" s="1">
        <v>56</v>
      </c>
      <c r="C326" s="14">
        <f t="shared" si="30"/>
        <v>56</v>
      </c>
      <c r="D326" s="1" t="s">
        <v>16</v>
      </c>
      <c r="E326" s="1" t="s">
        <v>40</v>
      </c>
      <c r="F326" s="1" t="s">
        <v>38</v>
      </c>
      <c r="G326" s="1" t="str">
        <f t="shared" si="31"/>
        <v>Lead</v>
      </c>
      <c r="H326" s="1">
        <v>63351</v>
      </c>
      <c r="I326" s="1">
        <f t="shared" si="32"/>
        <v>63351</v>
      </c>
      <c r="J326" s="1">
        <v>4</v>
      </c>
      <c r="K326" s="14">
        <f t="shared" si="33"/>
        <v>4</v>
      </c>
      <c r="L326" s="1">
        <v>2</v>
      </c>
      <c r="M326" s="1">
        <f t="shared" si="34"/>
        <v>2</v>
      </c>
      <c r="N326" s="1">
        <v>5</v>
      </c>
      <c r="O326" s="1">
        <f t="shared" si="35"/>
        <v>5</v>
      </c>
      <c r="P326" s="1" t="s">
        <v>19</v>
      </c>
      <c r="Q326" s="1">
        <v>1</v>
      </c>
      <c r="R326" s="1" t="s">
        <v>20</v>
      </c>
      <c r="S326" s="1" t="s">
        <v>30</v>
      </c>
      <c r="T326" s="1">
        <v>19</v>
      </c>
      <c r="U326" s="3" t="s">
        <v>42</v>
      </c>
    </row>
    <row r="327" spans="1:21" x14ac:dyDescent="0.25">
      <c r="A327" s="2" t="s">
        <v>364</v>
      </c>
      <c r="B327" s="1">
        <v>37</v>
      </c>
      <c r="C327" s="14">
        <f t="shared" si="30"/>
        <v>37</v>
      </c>
      <c r="D327" s="1" t="s">
        <v>28</v>
      </c>
      <c r="E327" s="1" t="s">
        <v>40</v>
      </c>
      <c r="F327" s="1" t="s">
        <v>25</v>
      </c>
      <c r="G327" s="1" t="str">
        <f t="shared" si="31"/>
        <v>Associate</v>
      </c>
      <c r="H327" s="1">
        <v>118990</v>
      </c>
      <c r="I327" s="1">
        <f t="shared" si="32"/>
        <v>118990</v>
      </c>
      <c r="J327" s="1">
        <v>3</v>
      </c>
      <c r="K327" s="14">
        <f t="shared" si="33"/>
        <v>3</v>
      </c>
      <c r="L327" s="1">
        <v>5</v>
      </c>
      <c r="M327" s="1">
        <f t="shared" si="34"/>
        <v>5</v>
      </c>
      <c r="N327" s="1">
        <v>5</v>
      </c>
      <c r="O327" s="1">
        <f t="shared" si="35"/>
        <v>5</v>
      </c>
      <c r="P327" s="1" t="s">
        <v>20</v>
      </c>
      <c r="Q327" s="1">
        <v>15</v>
      </c>
      <c r="R327" s="1" t="s">
        <v>19</v>
      </c>
      <c r="S327" s="1" t="s">
        <v>30</v>
      </c>
      <c r="T327" s="1">
        <v>29</v>
      </c>
      <c r="U327" s="3" t="s">
        <v>36</v>
      </c>
    </row>
    <row r="328" spans="1:21" x14ac:dyDescent="0.25">
      <c r="A328" s="2" t="s">
        <v>365</v>
      </c>
      <c r="B328" s="1"/>
      <c r="C328" s="14">
        <f t="shared" si="30"/>
        <v>39</v>
      </c>
      <c r="D328" s="1" t="s">
        <v>16</v>
      </c>
      <c r="E328" s="1" t="s">
        <v>40</v>
      </c>
      <c r="F328" s="1" t="s">
        <v>41</v>
      </c>
      <c r="G328" s="1" t="str">
        <f t="shared" si="31"/>
        <v>Executive</v>
      </c>
      <c r="H328" s="1">
        <v>119360</v>
      </c>
      <c r="I328" s="1">
        <f t="shared" si="32"/>
        <v>119360</v>
      </c>
      <c r="J328" s="1">
        <v>5</v>
      </c>
      <c r="K328" s="14">
        <f t="shared" si="33"/>
        <v>5</v>
      </c>
      <c r="L328" s="1">
        <v>5</v>
      </c>
      <c r="M328" s="1">
        <f t="shared" si="34"/>
        <v>5</v>
      </c>
      <c r="N328" s="1">
        <v>1</v>
      </c>
      <c r="O328" s="1">
        <f t="shared" si="35"/>
        <v>1</v>
      </c>
      <c r="P328" s="1" t="s">
        <v>19</v>
      </c>
      <c r="Q328" s="1">
        <v>6</v>
      </c>
      <c r="R328" s="1" t="s">
        <v>19</v>
      </c>
      <c r="S328" s="1" t="s">
        <v>26</v>
      </c>
      <c r="T328" s="1">
        <v>59</v>
      </c>
      <c r="U328" s="3" t="s">
        <v>22</v>
      </c>
    </row>
    <row r="329" spans="1:21" x14ac:dyDescent="0.25">
      <c r="A329" s="2" t="s">
        <v>366</v>
      </c>
      <c r="B329" s="1">
        <v>34</v>
      </c>
      <c r="C329" s="14">
        <f t="shared" si="30"/>
        <v>34</v>
      </c>
      <c r="D329" s="1" t="s">
        <v>28</v>
      </c>
      <c r="E329" s="1" t="s">
        <v>17</v>
      </c>
      <c r="F329" s="1" t="s">
        <v>35</v>
      </c>
      <c r="G329" s="1" t="str">
        <f t="shared" si="31"/>
        <v>Manager</v>
      </c>
      <c r="H329" s="1">
        <v>115896</v>
      </c>
      <c r="I329" s="1">
        <f t="shared" si="32"/>
        <v>115896</v>
      </c>
      <c r="J329" s="1">
        <v>2</v>
      </c>
      <c r="K329" s="14">
        <f t="shared" si="33"/>
        <v>2</v>
      </c>
      <c r="L329" s="1">
        <v>1</v>
      </c>
      <c r="M329" s="1">
        <f t="shared" si="34"/>
        <v>1</v>
      </c>
      <c r="N329" s="1">
        <v>4</v>
      </c>
      <c r="O329" s="1">
        <f t="shared" si="35"/>
        <v>4</v>
      </c>
      <c r="P329" s="1" t="s">
        <v>20</v>
      </c>
      <c r="Q329" s="1">
        <v>1</v>
      </c>
      <c r="R329" s="1" t="s">
        <v>19</v>
      </c>
      <c r="S329" s="1" t="s">
        <v>21</v>
      </c>
      <c r="T329" s="1">
        <v>11</v>
      </c>
      <c r="U329" s="3" t="s">
        <v>44</v>
      </c>
    </row>
    <row r="330" spans="1:21" x14ac:dyDescent="0.25">
      <c r="A330" s="2" t="s">
        <v>367</v>
      </c>
      <c r="B330" s="1">
        <v>37</v>
      </c>
      <c r="C330" s="14">
        <f t="shared" si="30"/>
        <v>37</v>
      </c>
      <c r="D330" s="1" t="s">
        <v>16</v>
      </c>
      <c r="E330" s="1" t="s">
        <v>24</v>
      </c>
      <c r="F330" s="1" t="s">
        <v>41</v>
      </c>
      <c r="G330" s="1" t="str">
        <f t="shared" si="31"/>
        <v>Executive</v>
      </c>
      <c r="H330" s="1">
        <v>51901</v>
      </c>
      <c r="I330" s="1">
        <f t="shared" si="32"/>
        <v>51901</v>
      </c>
      <c r="J330" s="1">
        <v>4</v>
      </c>
      <c r="K330" s="14">
        <f t="shared" si="33"/>
        <v>4</v>
      </c>
      <c r="L330" s="1">
        <v>4</v>
      </c>
      <c r="M330" s="1">
        <f t="shared" si="34"/>
        <v>4</v>
      </c>
      <c r="N330" s="1">
        <v>4</v>
      </c>
      <c r="O330" s="1">
        <f t="shared" si="35"/>
        <v>4</v>
      </c>
      <c r="P330" s="1" t="s">
        <v>20</v>
      </c>
      <c r="Q330" s="1">
        <v>13</v>
      </c>
      <c r="R330" s="1" t="s">
        <v>20</v>
      </c>
      <c r="S330" s="1" t="s">
        <v>21</v>
      </c>
      <c r="T330" s="1">
        <v>54</v>
      </c>
      <c r="U330" s="3" t="s">
        <v>22</v>
      </c>
    </row>
    <row r="331" spans="1:21" x14ac:dyDescent="0.25">
      <c r="A331" s="2" t="s">
        <v>368</v>
      </c>
      <c r="B331" s="1">
        <v>55</v>
      </c>
      <c r="C331" s="14">
        <f t="shared" si="30"/>
        <v>55</v>
      </c>
      <c r="D331" s="1" t="s">
        <v>16</v>
      </c>
      <c r="E331" s="1" t="s">
        <v>17</v>
      </c>
      <c r="F331" s="1" t="s">
        <v>38</v>
      </c>
      <c r="G331" s="1" t="str">
        <f t="shared" si="31"/>
        <v>Lead</v>
      </c>
      <c r="H331" s="1">
        <v>99048</v>
      </c>
      <c r="I331" s="1">
        <f t="shared" si="32"/>
        <v>99048</v>
      </c>
      <c r="J331" s="1">
        <v>1</v>
      </c>
      <c r="K331" s="14">
        <f t="shared" si="33"/>
        <v>1</v>
      </c>
      <c r="L331" s="1">
        <v>5</v>
      </c>
      <c r="M331" s="1">
        <f t="shared" si="34"/>
        <v>5</v>
      </c>
      <c r="N331" s="1">
        <v>1</v>
      </c>
      <c r="O331" s="1">
        <f t="shared" si="35"/>
        <v>1</v>
      </c>
      <c r="P331" s="1" t="s">
        <v>19</v>
      </c>
      <c r="Q331" s="1">
        <v>11</v>
      </c>
      <c r="R331" s="1" t="s">
        <v>19</v>
      </c>
      <c r="S331" s="1" t="s">
        <v>30</v>
      </c>
      <c r="T331" s="1">
        <v>43</v>
      </c>
      <c r="U331" s="3" t="s">
        <v>31</v>
      </c>
    </row>
    <row r="332" spans="1:21" x14ac:dyDescent="0.25">
      <c r="A332" s="2" t="s">
        <v>369</v>
      </c>
      <c r="B332" s="1">
        <v>26</v>
      </c>
      <c r="C332" s="14">
        <f t="shared" si="30"/>
        <v>26</v>
      </c>
      <c r="D332" s="1" t="s">
        <v>28</v>
      </c>
      <c r="E332" s="1" t="s">
        <v>49</v>
      </c>
      <c r="F332" s="1" t="s">
        <v>33</v>
      </c>
      <c r="G332" s="1" t="str">
        <f t="shared" si="31"/>
        <v>Engineer</v>
      </c>
      <c r="H332" s="1">
        <v>69788</v>
      </c>
      <c r="I332" s="1">
        <f t="shared" si="32"/>
        <v>69788</v>
      </c>
      <c r="J332" s="1">
        <v>1</v>
      </c>
      <c r="K332" s="14">
        <f t="shared" si="33"/>
        <v>1</v>
      </c>
      <c r="L332" s="1">
        <v>4</v>
      </c>
      <c r="M332" s="1">
        <f t="shared" si="34"/>
        <v>4</v>
      </c>
      <c r="N332" s="1">
        <v>2</v>
      </c>
      <c r="O332" s="1">
        <f t="shared" si="35"/>
        <v>2</v>
      </c>
      <c r="P332" s="1" t="s">
        <v>19</v>
      </c>
      <c r="Q332" s="1">
        <v>4</v>
      </c>
      <c r="R332" s="1" t="s">
        <v>20</v>
      </c>
      <c r="S332" s="1" t="s">
        <v>26</v>
      </c>
      <c r="T332" s="1">
        <v>42</v>
      </c>
      <c r="U332" s="3" t="s">
        <v>44</v>
      </c>
    </row>
    <row r="333" spans="1:21" x14ac:dyDescent="0.25">
      <c r="A333" s="2" t="s">
        <v>370</v>
      </c>
      <c r="B333" s="1">
        <v>40</v>
      </c>
      <c r="C333" s="14">
        <f t="shared" si="30"/>
        <v>40</v>
      </c>
      <c r="D333" s="1" t="s">
        <v>28</v>
      </c>
      <c r="E333" s="1" t="s">
        <v>40</v>
      </c>
      <c r="F333" s="1" t="s">
        <v>25</v>
      </c>
      <c r="G333" s="1" t="str">
        <f t="shared" si="31"/>
        <v>Associate</v>
      </c>
      <c r="H333" s="1">
        <v>90754</v>
      </c>
      <c r="I333" s="1">
        <f t="shared" si="32"/>
        <v>90754</v>
      </c>
      <c r="J333" s="1">
        <v>2</v>
      </c>
      <c r="K333" s="14">
        <f t="shared" si="33"/>
        <v>2</v>
      </c>
      <c r="L333" s="1">
        <v>1</v>
      </c>
      <c r="M333" s="1">
        <f t="shared" si="34"/>
        <v>1</v>
      </c>
      <c r="N333" s="1">
        <v>1</v>
      </c>
      <c r="O333" s="1">
        <f t="shared" si="35"/>
        <v>1</v>
      </c>
      <c r="P333" s="1" t="s">
        <v>19</v>
      </c>
      <c r="Q333" s="1">
        <v>18</v>
      </c>
      <c r="R333" s="1" t="s">
        <v>20</v>
      </c>
      <c r="S333" s="1" t="s">
        <v>26</v>
      </c>
      <c r="T333" s="1">
        <v>75</v>
      </c>
      <c r="U333" s="3" t="s">
        <v>22</v>
      </c>
    </row>
    <row r="334" spans="1:21" x14ac:dyDescent="0.25">
      <c r="A334" s="2" t="s">
        <v>371</v>
      </c>
      <c r="B334" s="1">
        <v>40</v>
      </c>
      <c r="C334" s="14">
        <f t="shared" si="30"/>
        <v>40</v>
      </c>
      <c r="D334" s="1" t="s">
        <v>16</v>
      </c>
      <c r="E334" s="1" t="s">
        <v>17</v>
      </c>
      <c r="F334" s="1" t="s">
        <v>38</v>
      </c>
      <c r="G334" s="1" t="str">
        <f t="shared" si="31"/>
        <v>Lead</v>
      </c>
      <c r="H334" s="1">
        <v>113150</v>
      </c>
      <c r="I334" s="1">
        <f t="shared" si="32"/>
        <v>113150</v>
      </c>
      <c r="J334" s="1">
        <v>3</v>
      </c>
      <c r="K334" s="14">
        <f t="shared" si="33"/>
        <v>3</v>
      </c>
      <c r="L334" s="1">
        <v>2</v>
      </c>
      <c r="M334" s="1">
        <f t="shared" si="34"/>
        <v>2</v>
      </c>
      <c r="N334" s="1">
        <v>4</v>
      </c>
      <c r="O334" s="1">
        <f t="shared" si="35"/>
        <v>4</v>
      </c>
      <c r="P334" s="1" t="s">
        <v>19</v>
      </c>
      <c r="Q334" s="1">
        <v>5</v>
      </c>
      <c r="R334" s="1" t="s">
        <v>19</v>
      </c>
      <c r="S334" s="1" t="s">
        <v>21</v>
      </c>
      <c r="T334" s="1">
        <v>37</v>
      </c>
      <c r="U334" s="3" t="s">
        <v>44</v>
      </c>
    </row>
    <row r="335" spans="1:21" x14ac:dyDescent="0.25">
      <c r="A335" s="2" t="s">
        <v>372</v>
      </c>
      <c r="B335" s="1">
        <v>28</v>
      </c>
      <c r="C335" s="14">
        <f t="shared" si="30"/>
        <v>28</v>
      </c>
      <c r="D335" s="1" t="s">
        <v>16</v>
      </c>
      <c r="E335" s="1" t="s">
        <v>17</v>
      </c>
      <c r="F335" s="1" t="s">
        <v>25</v>
      </c>
      <c r="G335" s="1" t="str">
        <f t="shared" si="31"/>
        <v>Associate</v>
      </c>
      <c r="H335" s="1">
        <v>25128</v>
      </c>
      <c r="I335" s="1">
        <f t="shared" si="32"/>
        <v>25128</v>
      </c>
      <c r="J335" s="1">
        <v>5</v>
      </c>
      <c r="K335" s="14">
        <f t="shared" si="33"/>
        <v>5</v>
      </c>
      <c r="L335" s="1">
        <v>4</v>
      </c>
      <c r="M335" s="1">
        <f t="shared" si="34"/>
        <v>4</v>
      </c>
      <c r="N335" s="1">
        <v>5</v>
      </c>
      <c r="O335" s="1">
        <f t="shared" si="35"/>
        <v>5</v>
      </c>
      <c r="P335" s="1" t="s">
        <v>19</v>
      </c>
      <c r="Q335" s="1">
        <v>9</v>
      </c>
      <c r="R335" s="1" t="s">
        <v>19</v>
      </c>
      <c r="S335" s="1" t="s">
        <v>30</v>
      </c>
      <c r="T335" s="1">
        <v>17</v>
      </c>
      <c r="U335" s="3" t="s">
        <v>44</v>
      </c>
    </row>
    <row r="336" spans="1:21" x14ac:dyDescent="0.25">
      <c r="A336" s="2" t="s">
        <v>373</v>
      </c>
      <c r="B336" s="1">
        <v>58</v>
      </c>
      <c r="C336" s="14">
        <f t="shared" si="30"/>
        <v>58</v>
      </c>
      <c r="D336" s="1" t="s">
        <v>28</v>
      </c>
      <c r="E336" s="1" t="s">
        <v>29</v>
      </c>
      <c r="F336" s="1" t="s">
        <v>18</v>
      </c>
      <c r="G336" s="1" t="str">
        <f t="shared" si="31"/>
        <v>Analyst</v>
      </c>
      <c r="H336" s="1">
        <v>34805</v>
      </c>
      <c r="I336" s="1">
        <f t="shared" si="32"/>
        <v>34805</v>
      </c>
      <c r="J336" s="1">
        <v>2</v>
      </c>
      <c r="K336" s="14">
        <f t="shared" si="33"/>
        <v>2</v>
      </c>
      <c r="L336" s="1">
        <v>1</v>
      </c>
      <c r="M336" s="1">
        <f t="shared" si="34"/>
        <v>1</v>
      </c>
      <c r="N336" s="1">
        <v>3</v>
      </c>
      <c r="O336" s="1">
        <f t="shared" si="35"/>
        <v>3</v>
      </c>
      <c r="P336" s="1" t="s">
        <v>19</v>
      </c>
      <c r="Q336" s="1">
        <v>6</v>
      </c>
      <c r="R336" s="1" t="s">
        <v>20</v>
      </c>
      <c r="S336" s="1" t="s">
        <v>30</v>
      </c>
      <c r="T336" s="1">
        <v>62</v>
      </c>
      <c r="U336" s="3" t="s">
        <v>36</v>
      </c>
    </row>
    <row r="337" spans="1:21" x14ac:dyDescent="0.25">
      <c r="A337" s="2" t="s">
        <v>374</v>
      </c>
      <c r="B337" s="1">
        <v>40</v>
      </c>
      <c r="C337" s="14">
        <f t="shared" si="30"/>
        <v>40</v>
      </c>
      <c r="D337" s="1" t="s">
        <v>16</v>
      </c>
      <c r="E337" s="1" t="s">
        <v>24</v>
      </c>
      <c r="F337" s="1" t="s">
        <v>25</v>
      </c>
      <c r="G337" s="1" t="str">
        <f t="shared" si="31"/>
        <v>Associate</v>
      </c>
      <c r="H337" s="1">
        <v>65774</v>
      </c>
      <c r="I337" s="1">
        <f t="shared" si="32"/>
        <v>65774</v>
      </c>
      <c r="J337" s="1">
        <v>3</v>
      </c>
      <c r="K337" s="14">
        <f t="shared" si="33"/>
        <v>3</v>
      </c>
      <c r="L337" s="1">
        <v>4</v>
      </c>
      <c r="M337" s="1">
        <f t="shared" si="34"/>
        <v>4</v>
      </c>
      <c r="N337" s="1">
        <v>2</v>
      </c>
      <c r="O337" s="1">
        <f t="shared" si="35"/>
        <v>2</v>
      </c>
      <c r="P337" s="1" t="s">
        <v>19</v>
      </c>
      <c r="Q337" s="1">
        <v>10</v>
      </c>
      <c r="R337" s="1" t="s">
        <v>19</v>
      </c>
      <c r="S337" s="1" t="s">
        <v>21</v>
      </c>
      <c r="T337" s="1">
        <v>60</v>
      </c>
      <c r="U337" s="3" t="s">
        <v>36</v>
      </c>
    </row>
    <row r="338" spans="1:21" x14ac:dyDescent="0.25">
      <c r="A338" s="2" t="s">
        <v>375</v>
      </c>
      <c r="B338" s="1">
        <v>44</v>
      </c>
      <c r="C338" s="14">
        <f t="shared" si="30"/>
        <v>44</v>
      </c>
      <c r="D338" s="1" t="s">
        <v>16</v>
      </c>
      <c r="E338" s="1" t="s">
        <v>17</v>
      </c>
      <c r="F338" s="1" t="s">
        <v>38</v>
      </c>
      <c r="G338" s="1" t="str">
        <f t="shared" si="31"/>
        <v>Lead</v>
      </c>
      <c r="H338" s="1">
        <v>61458</v>
      </c>
      <c r="I338" s="1">
        <f t="shared" si="32"/>
        <v>61458</v>
      </c>
      <c r="J338" s="1">
        <v>4</v>
      </c>
      <c r="K338" s="14">
        <f t="shared" si="33"/>
        <v>4</v>
      </c>
      <c r="L338" s="1">
        <v>4</v>
      </c>
      <c r="M338" s="1">
        <f t="shared" si="34"/>
        <v>4</v>
      </c>
      <c r="N338" s="1">
        <v>4</v>
      </c>
      <c r="O338" s="1">
        <f t="shared" si="35"/>
        <v>4</v>
      </c>
      <c r="P338" s="1" t="s">
        <v>20</v>
      </c>
      <c r="Q338" s="1">
        <v>9</v>
      </c>
      <c r="R338" s="1" t="s">
        <v>20</v>
      </c>
      <c r="S338" s="1" t="s">
        <v>26</v>
      </c>
      <c r="T338" s="1">
        <v>18</v>
      </c>
      <c r="U338" s="3" t="s">
        <v>44</v>
      </c>
    </row>
    <row r="339" spans="1:21" x14ac:dyDescent="0.25">
      <c r="A339" s="2" t="s">
        <v>376</v>
      </c>
      <c r="B339" s="1">
        <v>26</v>
      </c>
      <c r="C339" s="14">
        <f t="shared" si="30"/>
        <v>26</v>
      </c>
      <c r="D339" s="1" t="s">
        <v>28</v>
      </c>
      <c r="E339" s="1" t="s">
        <v>51</v>
      </c>
      <c r="F339" s="1" t="s">
        <v>25</v>
      </c>
      <c r="G339" s="1" t="str">
        <f t="shared" si="31"/>
        <v>Associate</v>
      </c>
      <c r="H339" s="1">
        <v>43746</v>
      </c>
      <c r="I339" s="1">
        <f t="shared" si="32"/>
        <v>43746</v>
      </c>
      <c r="J339" s="1">
        <v>3</v>
      </c>
      <c r="K339" s="14">
        <f t="shared" si="33"/>
        <v>3</v>
      </c>
      <c r="L339" s="1">
        <v>1</v>
      </c>
      <c r="M339" s="1">
        <f t="shared" si="34"/>
        <v>1</v>
      </c>
      <c r="N339" s="1">
        <v>1</v>
      </c>
      <c r="O339" s="1">
        <f t="shared" si="35"/>
        <v>1</v>
      </c>
      <c r="P339" s="1" t="s">
        <v>19</v>
      </c>
      <c r="Q339" s="1">
        <v>16</v>
      </c>
      <c r="R339" s="1" t="s">
        <v>19</v>
      </c>
      <c r="S339" s="1" t="s">
        <v>26</v>
      </c>
      <c r="T339" s="1">
        <v>79</v>
      </c>
      <c r="U339" s="3" t="s">
        <v>42</v>
      </c>
    </row>
    <row r="340" spans="1:21" x14ac:dyDescent="0.25">
      <c r="A340" s="2" t="s">
        <v>377</v>
      </c>
      <c r="B340" s="1">
        <v>58</v>
      </c>
      <c r="C340" s="14">
        <f t="shared" si="30"/>
        <v>58</v>
      </c>
      <c r="D340" s="1" t="s">
        <v>16</v>
      </c>
      <c r="E340" s="1" t="s">
        <v>40</v>
      </c>
      <c r="F340" s="1" t="s">
        <v>25</v>
      </c>
      <c r="G340" s="1" t="str">
        <f t="shared" si="31"/>
        <v>Associate</v>
      </c>
      <c r="H340" s="1">
        <v>52159</v>
      </c>
      <c r="I340" s="1">
        <f t="shared" si="32"/>
        <v>52159</v>
      </c>
      <c r="J340" s="1">
        <v>5</v>
      </c>
      <c r="K340" s="14">
        <f t="shared" si="33"/>
        <v>5</v>
      </c>
      <c r="L340" s="1">
        <v>5</v>
      </c>
      <c r="M340" s="1">
        <f t="shared" si="34"/>
        <v>5</v>
      </c>
      <c r="N340" s="1">
        <v>4</v>
      </c>
      <c r="O340" s="1">
        <f t="shared" si="35"/>
        <v>4</v>
      </c>
      <c r="P340" s="1" t="s">
        <v>19</v>
      </c>
      <c r="Q340" s="1">
        <v>11</v>
      </c>
      <c r="R340" s="1" t="s">
        <v>20</v>
      </c>
      <c r="S340" s="1" t="s">
        <v>21</v>
      </c>
      <c r="T340" s="1">
        <v>80</v>
      </c>
      <c r="U340" s="3" t="s">
        <v>36</v>
      </c>
    </row>
    <row r="341" spans="1:21" x14ac:dyDescent="0.25">
      <c r="A341" s="2" t="s">
        <v>378</v>
      </c>
      <c r="B341" s="1">
        <v>29</v>
      </c>
      <c r="C341" s="14">
        <f t="shared" si="30"/>
        <v>29</v>
      </c>
      <c r="D341" s="1" t="s">
        <v>28</v>
      </c>
      <c r="E341" s="1" t="s">
        <v>24</v>
      </c>
      <c r="F341" s="1" t="s">
        <v>25</v>
      </c>
      <c r="G341" s="1" t="str">
        <f t="shared" si="31"/>
        <v>Associate</v>
      </c>
      <c r="H341" s="1">
        <v>29869</v>
      </c>
      <c r="I341" s="1">
        <f t="shared" si="32"/>
        <v>29869</v>
      </c>
      <c r="J341" s="1">
        <v>4</v>
      </c>
      <c r="K341" s="14">
        <f t="shared" si="33"/>
        <v>4</v>
      </c>
      <c r="L341" s="1">
        <v>3</v>
      </c>
      <c r="M341" s="1">
        <f t="shared" si="34"/>
        <v>3</v>
      </c>
      <c r="N341" s="1">
        <v>5</v>
      </c>
      <c r="O341" s="1">
        <f t="shared" si="35"/>
        <v>5</v>
      </c>
      <c r="P341" s="1" t="s">
        <v>19</v>
      </c>
      <c r="Q341" s="1">
        <v>7</v>
      </c>
      <c r="R341" s="1" t="s">
        <v>19</v>
      </c>
      <c r="S341" s="1" t="s">
        <v>26</v>
      </c>
      <c r="T341" s="1">
        <v>22</v>
      </c>
      <c r="U341" s="3" t="s">
        <v>42</v>
      </c>
    </row>
    <row r="342" spans="1:21" x14ac:dyDescent="0.25">
      <c r="A342" s="2" t="s">
        <v>379</v>
      </c>
      <c r="B342" s="1">
        <v>31</v>
      </c>
      <c r="C342" s="14">
        <f t="shared" si="30"/>
        <v>31</v>
      </c>
      <c r="D342" s="1" t="s">
        <v>16</v>
      </c>
      <c r="E342" s="1" t="s">
        <v>24</v>
      </c>
      <c r="F342" s="1" t="s">
        <v>25</v>
      </c>
      <c r="G342" s="1" t="str">
        <f t="shared" si="31"/>
        <v>Associate</v>
      </c>
      <c r="H342" s="1">
        <v>104430</v>
      </c>
      <c r="I342" s="1">
        <f t="shared" si="32"/>
        <v>104430</v>
      </c>
      <c r="J342" s="1">
        <v>2</v>
      </c>
      <c r="K342" s="14">
        <f t="shared" si="33"/>
        <v>2</v>
      </c>
      <c r="L342" s="1">
        <v>4</v>
      </c>
      <c r="M342" s="1">
        <f t="shared" si="34"/>
        <v>4</v>
      </c>
      <c r="N342" s="1">
        <v>3</v>
      </c>
      <c r="O342" s="1">
        <f t="shared" si="35"/>
        <v>3</v>
      </c>
      <c r="P342" s="1" t="s">
        <v>19</v>
      </c>
      <c r="Q342" s="1">
        <v>7</v>
      </c>
      <c r="R342" s="1" t="s">
        <v>20</v>
      </c>
      <c r="S342" s="1" t="s">
        <v>21</v>
      </c>
      <c r="T342" s="1">
        <v>13</v>
      </c>
      <c r="U342" s="3" t="s">
        <v>36</v>
      </c>
    </row>
    <row r="343" spans="1:21" x14ac:dyDescent="0.25">
      <c r="A343" s="2" t="s">
        <v>380</v>
      </c>
      <c r="B343" s="1">
        <v>44</v>
      </c>
      <c r="C343" s="14">
        <f t="shared" si="30"/>
        <v>44</v>
      </c>
      <c r="D343" s="1" t="s">
        <v>16</v>
      </c>
      <c r="E343" s="1" t="s">
        <v>40</v>
      </c>
      <c r="F343" s="1" t="s">
        <v>38</v>
      </c>
      <c r="G343" s="1" t="str">
        <f t="shared" si="31"/>
        <v>Lead</v>
      </c>
      <c r="H343" s="1">
        <v>45102</v>
      </c>
      <c r="I343" s="1">
        <f t="shared" si="32"/>
        <v>45102</v>
      </c>
      <c r="J343" s="1">
        <v>5</v>
      </c>
      <c r="K343" s="14">
        <f t="shared" si="33"/>
        <v>5</v>
      </c>
      <c r="L343" s="1">
        <v>3</v>
      </c>
      <c r="M343" s="1">
        <f t="shared" si="34"/>
        <v>3</v>
      </c>
      <c r="N343" s="1">
        <v>4</v>
      </c>
      <c r="O343" s="1">
        <f t="shared" si="35"/>
        <v>4</v>
      </c>
      <c r="P343" s="1" t="s">
        <v>20</v>
      </c>
      <c r="Q343" s="1">
        <v>14</v>
      </c>
      <c r="R343" s="1" t="s">
        <v>19</v>
      </c>
      <c r="S343" s="1" t="s">
        <v>21</v>
      </c>
      <c r="T343" s="1">
        <v>46</v>
      </c>
      <c r="U343" s="3" t="s">
        <v>22</v>
      </c>
    </row>
    <row r="344" spans="1:21" x14ac:dyDescent="0.25">
      <c r="A344" s="2" t="s">
        <v>381</v>
      </c>
      <c r="B344" s="1">
        <v>54</v>
      </c>
      <c r="C344" s="14">
        <f t="shared" si="30"/>
        <v>54</v>
      </c>
      <c r="D344" s="1" t="s">
        <v>28</v>
      </c>
      <c r="E344" s="1" t="s">
        <v>17</v>
      </c>
      <c r="F344" s="1" t="s">
        <v>18</v>
      </c>
      <c r="G344" s="1" t="str">
        <f t="shared" si="31"/>
        <v>Analyst</v>
      </c>
      <c r="H344" s="1">
        <v>93842</v>
      </c>
      <c r="I344" s="1">
        <f t="shared" si="32"/>
        <v>93842</v>
      </c>
      <c r="J344" s="1">
        <v>5</v>
      </c>
      <c r="K344" s="14">
        <f t="shared" si="33"/>
        <v>5</v>
      </c>
      <c r="L344" s="1">
        <v>5</v>
      </c>
      <c r="M344" s="1">
        <f t="shared" si="34"/>
        <v>5</v>
      </c>
      <c r="N344" s="1">
        <v>2</v>
      </c>
      <c r="O344" s="1">
        <f t="shared" si="35"/>
        <v>2</v>
      </c>
      <c r="P344" s="1" t="s">
        <v>20</v>
      </c>
      <c r="Q344" s="1">
        <v>20</v>
      </c>
      <c r="R344" s="1" t="s">
        <v>20</v>
      </c>
      <c r="S344" s="1" t="s">
        <v>30</v>
      </c>
      <c r="T344" s="1">
        <v>80</v>
      </c>
      <c r="U344" s="3" t="s">
        <v>22</v>
      </c>
    </row>
    <row r="345" spans="1:21" x14ac:dyDescent="0.25">
      <c r="A345" s="2" t="s">
        <v>382</v>
      </c>
      <c r="B345" s="1">
        <v>54</v>
      </c>
      <c r="C345" s="14">
        <f t="shared" si="30"/>
        <v>54</v>
      </c>
      <c r="D345" s="1" t="s">
        <v>28</v>
      </c>
      <c r="E345" s="1" t="s">
        <v>49</v>
      </c>
      <c r="F345" s="1" t="s">
        <v>41</v>
      </c>
      <c r="G345" s="1" t="str">
        <f t="shared" si="31"/>
        <v>Executive</v>
      </c>
      <c r="H345" s="1">
        <v>85681</v>
      </c>
      <c r="I345" s="1">
        <f t="shared" si="32"/>
        <v>85681</v>
      </c>
      <c r="J345" s="1">
        <v>4</v>
      </c>
      <c r="K345" s="14">
        <f t="shared" si="33"/>
        <v>4</v>
      </c>
      <c r="L345" s="1">
        <v>3</v>
      </c>
      <c r="M345" s="1">
        <f t="shared" si="34"/>
        <v>3</v>
      </c>
      <c r="N345" s="1">
        <v>3</v>
      </c>
      <c r="O345" s="1">
        <f t="shared" si="35"/>
        <v>3</v>
      </c>
      <c r="P345" s="1" t="s">
        <v>20</v>
      </c>
      <c r="Q345" s="1">
        <v>15</v>
      </c>
      <c r="R345" s="1" t="s">
        <v>19</v>
      </c>
      <c r="S345" s="1" t="s">
        <v>26</v>
      </c>
      <c r="T345" s="1">
        <v>22</v>
      </c>
      <c r="U345" s="3" t="s">
        <v>42</v>
      </c>
    </row>
    <row r="346" spans="1:21" x14ac:dyDescent="0.25">
      <c r="A346" s="2" t="s">
        <v>383</v>
      </c>
      <c r="B346" s="1">
        <v>31</v>
      </c>
      <c r="C346" s="14">
        <f t="shared" si="30"/>
        <v>31</v>
      </c>
      <c r="D346" s="1" t="s">
        <v>16</v>
      </c>
      <c r="E346" s="1" t="s">
        <v>40</v>
      </c>
      <c r="F346" s="1" t="s">
        <v>25</v>
      </c>
      <c r="G346" s="1" t="str">
        <f t="shared" si="31"/>
        <v>Associate</v>
      </c>
      <c r="H346" s="1">
        <v>102341</v>
      </c>
      <c r="I346" s="1">
        <f t="shared" si="32"/>
        <v>102341</v>
      </c>
      <c r="J346" s="1">
        <v>3</v>
      </c>
      <c r="K346" s="14">
        <f t="shared" si="33"/>
        <v>3</v>
      </c>
      <c r="L346" s="1">
        <v>2</v>
      </c>
      <c r="M346" s="1">
        <f t="shared" si="34"/>
        <v>2</v>
      </c>
      <c r="N346" s="1">
        <v>2</v>
      </c>
      <c r="O346" s="1">
        <f t="shared" si="35"/>
        <v>2</v>
      </c>
      <c r="P346" s="1" t="s">
        <v>19</v>
      </c>
      <c r="Q346" s="1">
        <v>5</v>
      </c>
      <c r="R346" s="1" t="s">
        <v>20</v>
      </c>
      <c r="S346" s="1" t="s">
        <v>26</v>
      </c>
      <c r="T346" s="1">
        <v>20</v>
      </c>
      <c r="U346" s="3" t="s">
        <v>44</v>
      </c>
    </row>
    <row r="347" spans="1:21" x14ac:dyDescent="0.25">
      <c r="A347" s="2" t="s">
        <v>384</v>
      </c>
      <c r="B347" s="1">
        <v>47</v>
      </c>
      <c r="C347" s="14">
        <f t="shared" si="30"/>
        <v>47</v>
      </c>
      <c r="D347" s="1" t="s">
        <v>28</v>
      </c>
      <c r="E347" s="1" t="s">
        <v>17</v>
      </c>
      <c r="F347" s="1" t="s">
        <v>35</v>
      </c>
      <c r="G347" s="1" t="str">
        <f t="shared" si="31"/>
        <v>Manager</v>
      </c>
      <c r="H347" s="1">
        <v>81113</v>
      </c>
      <c r="I347" s="1">
        <f t="shared" si="32"/>
        <v>81113</v>
      </c>
      <c r="J347" s="1">
        <v>4</v>
      </c>
      <c r="K347" s="14">
        <f t="shared" si="33"/>
        <v>4</v>
      </c>
      <c r="L347" s="1">
        <v>4</v>
      </c>
      <c r="M347" s="1">
        <f t="shared" si="34"/>
        <v>4</v>
      </c>
      <c r="N347" s="1">
        <v>2</v>
      </c>
      <c r="O347" s="1">
        <f t="shared" si="35"/>
        <v>2</v>
      </c>
      <c r="P347" s="1" t="s">
        <v>19</v>
      </c>
      <c r="Q347" s="1">
        <v>20</v>
      </c>
      <c r="R347" s="1" t="s">
        <v>20</v>
      </c>
      <c r="S347" s="1" t="s">
        <v>21</v>
      </c>
      <c r="T347" s="1">
        <v>36</v>
      </c>
      <c r="U347" s="3" t="s">
        <v>22</v>
      </c>
    </row>
    <row r="348" spans="1:21" x14ac:dyDescent="0.25">
      <c r="A348" s="2" t="s">
        <v>385</v>
      </c>
      <c r="B348" s="1">
        <v>29</v>
      </c>
      <c r="C348" s="14">
        <f t="shared" si="30"/>
        <v>29</v>
      </c>
      <c r="D348" s="1" t="s">
        <v>16</v>
      </c>
      <c r="E348" s="1" t="s">
        <v>51</v>
      </c>
      <c r="F348" s="1" t="s">
        <v>38</v>
      </c>
      <c r="G348" s="1" t="str">
        <f t="shared" si="31"/>
        <v>Lead</v>
      </c>
      <c r="H348" s="1">
        <v>85193</v>
      </c>
      <c r="I348" s="1">
        <f t="shared" si="32"/>
        <v>85193</v>
      </c>
      <c r="J348" s="1">
        <v>1</v>
      </c>
      <c r="K348" s="14">
        <f t="shared" si="33"/>
        <v>1</v>
      </c>
      <c r="L348" s="1">
        <v>5</v>
      </c>
      <c r="M348" s="1">
        <f t="shared" si="34"/>
        <v>5</v>
      </c>
      <c r="N348" s="1">
        <v>2</v>
      </c>
      <c r="O348" s="1">
        <f t="shared" si="35"/>
        <v>2</v>
      </c>
      <c r="P348" s="1" t="s">
        <v>19</v>
      </c>
      <c r="Q348" s="1">
        <v>5</v>
      </c>
      <c r="R348" s="1" t="s">
        <v>20</v>
      </c>
      <c r="S348" s="1" t="s">
        <v>21</v>
      </c>
      <c r="T348" s="1">
        <v>71</v>
      </c>
      <c r="U348" s="3" t="s">
        <v>42</v>
      </c>
    </row>
    <row r="349" spans="1:21" x14ac:dyDescent="0.25">
      <c r="A349" s="2" t="s">
        <v>386</v>
      </c>
      <c r="B349" s="1">
        <v>57</v>
      </c>
      <c r="C349" s="14">
        <f t="shared" si="30"/>
        <v>57</v>
      </c>
      <c r="D349" s="1" t="s">
        <v>16</v>
      </c>
      <c r="E349" s="1" t="s">
        <v>17</v>
      </c>
      <c r="F349" s="1" t="s">
        <v>38</v>
      </c>
      <c r="G349" s="1" t="str">
        <f t="shared" si="31"/>
        <v>Lead</v>
      </c>
      <c r="H349" s="1">
        <v>104736</v>
      </c>
      <c r="I349" s="1">
        <f t="shared" si="32"/>
        <v>104736</v>
      </c>
      <c r="J349" s="1">
        <v>3</v>
      </c>
      <c r="K349" s="14">
        <f t="shared" si="33"/>
        <v>3</v>
      </c>
      <c r="L349" s="1">
        <v>1</v>
      </c>
      <c r="M349" s="1">
        <f t="shared" si="34"/>
        <v>1</v>
      </c>
      <c r="N349" s="1">
        <v>2</v>
      </c>
      <c r="O349" s="1">
        <f t="shared" si="35"/>
        <v>2</v>
      </c>
      <c r="P349" s="1" t="s">
        <v>20</v>
      </c>
      <c r="Q349" s="1">
        <v>19</v>
      </c>
      <c r="R349" s="1" t="s">
        <v>20</v>
      </c>
      <c r="S349" s="1" t="s">
        <v>30</v>
      </c>
      <c r="T349" s="1">
        <v>26</v>
      </c>
      <c r="U349" s="3" t="s">
        <v>44</v>
      </c>
    </row>
    <row r="350" spans="1:21" x14ac:dyDescent="0.25">
      <c r="A350" s="2" t="s">
        <v>387</v>
      </c>
      <c r="B350" s="1">
        <v>47</v>
      </c>
      <c r="C350" s="14">
        <f t="shared" si="30"/>
        <v>47</v>
      </c>
      <c r="D350" s="1" t="s">
        <v>16</v>
      </c>
      <c r="E350" s="1" t="s">
        <v>24</v>
      </c>
      <c r="F350" s="1" t="s">
        <v>41</v>
      </c>
      <c r="G350" s="1" t="str">
        <f t="shared" si="31"/>
        <v>Executive</v>
      </c>
      <c r="H350" s="1">
        <v>99685</v>
      </c>
      <c r="I350" s="1">
        <f t="shared" si="32"/>
        <v>99685</v>
      </c>
      <c r="J350" s="1">
        <v>5</v>
      </c>
      <c r="K350" s="14">
        <f t="shared" si="33"/>
        <v>5</v>
      </c>
      <c r="L350" s="1">
        <v>3</v>
      </c>
      <c r="M350" s="1">
        <f t="shared" si="34"/>
        <v>3</v>
      </c>
      <c r="N350" s="1">
        <v>2</v>
      </c>
      <c r="O350" s="1">
        <f t="shared" si="35"/>
        <v>2</v>
      </c>
      <c r="P350" s="1" t="s">
        <v>20</v>
      </c>
      <c r="Q350" s="1">
        <v>14</v>
      </c>
      <c r="R350" s="1" t="s">
        <v>19</v>
      </c>
      <c r="S350" s="1" t="s">
        <v>21</v>
      </c>
      <c r="T350" s="1">
        <v>53</v>
      </c>
      <c r="U350" s="3" t="s">
        <v>42</v>
      </c>
    </row>
    <row r="351" spans="1:21" x14ac:dyDescent="0.25">
      <c r="A351" s="2" t="s">
        <v>388</v>
      </c>
      <c r="B351" s="1">
        <v>29</v>
      </c>
      <c r="C351" s="14">
        <f t="shared" si="30"/>
        <v>29</v>
      </c>
      <c r="D351" s="1" t="s">
        <v>16</v>
      </c>
      <c r="E351" s="1" t="s">
        <v>40</v>
      </c>
      <c r="F351" s="1" t="s">
        <v>41</v>
      </c>
      <c r="G351" s="1" t="str">
        <f t="shared" si="31"/>
        <v>Executive</v>
      </c>
      <c r="H351" s="1">
        <v>86512</v>
      </c>
      <c r="I351" s="1">
        <f t="shared" si="32"/>
        <v>86512</v>
      </c>
      <c r="J351" s="1">
        <v>5</v>
      </c>
      <c r="K351" s="14">
        <f t="shared" si="33"/>
        <v>5</v>
      </c>
      <c r="L351" s="1">
        <v>4</v>
      </c>
      <c r="M351" s="1">
        <f t="shared" si="34"/>
        <v>4</v>
      </c>
      <c r="N351" s="1">
        <v>2</v>
      </c>
      <c r="O351" s="1">
        <f t="shared" si="35"/>
        <v>2</v>
      </c>
      <c r="P351" s="1" t="s">
        <v>19</v>
      </c>
      <c r="Q351" s="1">
        <v>5</v>
      </c>
      <c r="R351" s="1" t="s">
        <v>20</v>
      </c>
      <c r="S351" s="1" t="s">
        <v>26</v>
      </c>
      <c r="T351" s="1">
        <v>9</v>
      </c>
      <c r="U351" s="3" t="s">
        <v>31</v>
      </c>
    </row>
    <row r="352" spans="1:21" x14ac:dyDescent="0.25">
      <c r="A352" s="2" t="s">
        <v>389</v>
      </c>
      <c r="B352" s="1">
        <v>53</v>
      </c>
      <c r="C352" s="14">
        <f t="shared" si="30"/>
        <v>53</v>
      </c>
      <c r="D352" s="1" t="s">
        <v>16</v>
      </c>
      <c r="E352" s="1" t="s">
        <v>40</v>
      </c>
      <c r="F352" s="1" t="s">
        <v>33</v>
      </c>
      <c r="G352" s="1" t="str">
        <f t="shared" si="31"/>
        <v>Engineer</v>
      </c>
      <c r="H352" s="1">
        <v>104427</v>
      </c>
      <c r="I352" s="1">
        <f t="shared" si="32"/>
        <v>104427</v>
      </c>
      <c r="J352" s="1">
        <v>2</v>
      </c>
      <c r="K352" s="14">
        <f t="shared" si="33"/>
        <v>2</v>
      </c>
      <c r="L352" s="1">
        <v>5</v>
      </c>
      <c r="M352" s="1">
        <f t="shared" si="34"/>
        <v>5</v>
      </c>
      <c r="N352" s="1">
        <v>5</v>
      </c>
      <c r="O352" s="1">
        <f t="shared" si="35"/>
        <v>5</v>
      </c>
      <c r="P352" s="1" t="s">
        <v>19</v>
      </c>
      <c r="Q352" s="1">
        <v>20</v>
      </c>
      <c r="R352" s="1" t="s">
        <v>20</v>
      </c>
      <c r="S352" s="1" t="s">
        <v>26</v>
      </c>
      <c r="T352" s="1">
        <v>58</v>
      </c>
      <c r="U352" s="3" t="s">
        <v>36</v>
      </c>
    </row>
    <row r="353" spans="1:21" x14ac:dyDescent="0.25">
      <c r="A353" s="2" t="s">
        <v>390</v>
      </c>
      <c r="B353" s="1">
        <v>23</v>
      </c>
      <c r="C353" s="14">
        <f t="shared" si="30"/>
        <v>23</v>
      </c>
      <c r="D353" s="1" t="s">
        <v>28</v>
      </c>
      <c r="E353" s="1" t="s">
        <v>51</v>
      </c>
      <c r="F353" s="1" t="s">
        <v>33</v>
      </c>
      <c r="G353" s="1" t="str">
        <f t="shared" si="31"/>
        <v>Engineer</v>
      </c>
      <c r="H353" s="1">
        <v>118751</v>
      </c>
      <c r="I353" s="1">
        <f t="shared" si="32"/>
        <v>118751</v>
      </c>
      <c r="J353" s="1">
        <v>4</v>
      </c>
      <c r="K353" s="14">
        <f t="shared" si="33"/>
        <v>4</v>
      </c>
      <c r="L353" s="1">
        <v>3</v>
      </c>
      <c r="M353" s="1">
        <f t="shared" si="34"/>
        <v>3</v>
      </c>
      <c r="N353" s="1">
        <v>5</v>
      </c>
      <c r="O353" s="1">
        <f t="shared" si="35"/>
        <v>5</v>
      </c>
      <c r="P353" s="1" t="s">
        <v>19</v>
      </c>
      <c r="Q353" s="1">
        <v>13</v>
      </c>
      <c r="R353" s="1" t="s">
        <v>19</v>
      </c>
      <c r="S353" s="1" t="s">
        <v>30</v>
      </c>
      <c r="T353" s="1">
        <v>66</v>
      </c>
      <c r="U353" s="3" t="s">
        <v>44</v>
      </c>
    </row>
    <row r="354" spans="1:21" x14ac:dyDescent="0.25">
      <c r="A354" s="2" t="s">
        <v>391</v>
      </c>
      <c r="B354" s="1">
        <v>26</v>
      </c>
      <c r="C354" s="14">
        <f t="shared" si="30"/>
        <v>26</v>
      </c>
      <c r="D354" s="1" t="s">
        <v>28</v>
      </c>
      <c r="E354" s="1" t="s">
        <v>24</v>
      </c>
      <c r="F354" s="1" t="s">
        <v>25</v>
      </c>
      <c r="G354" s="1" t="str">
        <f t="shared" si="31"/>
        <v>Associate</v>
      </c>
      <c r="H354" s="1">
        <v>71562</v>
      </c>
      <c r="I354" s="1">
        <f t="shared" si="32"/>
        <v>71562</v>
      </c>
      <c r="J354" s="1">
        <v>3</v>
      </c>
      <c r="K354" s="14">
        <f t="shared" si="33"/>
        <v>3</v>
      </c>
      <c r="L354" s="1">
        <v>2</v>
      </c>
      <c r="M354" s="1">
        <f t="shared" si="34"/>
        <v>2</v>
      </c>
      <c r="N354" s="1">
        <v>1</v>
      </c>
      <c r="O354" s="1">
        <f t="shared" si="35"/>
        <v>1</v>
      </c>
      <c r="P354" s="1" t="s">
        <v>19</v>
      </c>
      <c r="Q354" s="1">
        <v>18</v>
      </c>
      <c r="R354" s="1" t="s">
        <v>19</v>
      </c>
      <c r="S354" s="1" t="s">
        <v>26</v>
      </c>
      <c r="T354" s="1">
        <v>5</v>
      </c>
      <c r="U354" s="3" t="s">
        <v>42</v>
      </c>
    </row>
    <row r="355" spans="1:21" x14ac:dyDescent="0.25">
      <c r="A355" s="2" t="s">
        <v>392</v>
      </c>
      <c r="B355" s="1">
        <v>34</v>
      </c>
      <c r="C355" s="14">
        <f t="shared" si="30"/>
        <v>34</v>
      </c>
      <c r="D355" s="1" t="s">
        <v>28</v>
      </c>
      <c r="E355" s="1" t="s">
        <v>49</v>
      </c>
      <c r="F355" s="1" t="s">
        <v>18</v>
      </c>
      <c r="G355" s="1" t="str">
        <f t="shared" si="31"/>
        <v>Analyst</v>
      </c>
      <c r="H355" s="1">
        <v>31970</v>
      </c>
      <c r="I355" s="1">
        <f t="shared" si="32"/>
        <v>31970</v>
      </c>
      <c r="J355" s="1">
        <v>2</v>
      </c>
      <c r="K355" s="14">
        <f t="shared" si="33"/>
        <v>2</v>
      </c>
      <c r="L355" s="1">
        <v>4</v>
      </c>
      <c r="M355" s="1">
        <f t="shared" si="34"/>
        <v>4</v>
      </c>
      <c r="N355" s="1">
        <v>5</v>
      </c>
      <c r="O355" s="1">
        <f t="shared" si="35"/>
        <v>5</v>
      </c>
      <c r="P355" s="1" t="s">
        <v>20</v>
      </c>
      <c r="Q355" s="1">
        <v>8</v>
      </c>
      <c r="R355" s="1" t="s">
        <v>20</v>
      </c>
      <c r="S355" s="1" t="s">
        <v>26</v>
      </c>
      <c r="T355" s="1">
        <v>51</v>
      </c>
      <c r="U355" s="3" t="s">
        <v>31</v>
      </c>
    </row>
    <row r="356" spans="1:21" x14ac:dyDescent="0.25">
      <c r="A356" s="2" t="s">
        <v>393</v>
      </c>
      <c r="B356" s="1">
        <v>38</v>
      </c>
      <c r="C356" s="14">
        <f t="shared" si="30"/>
        <v>38</v>
      </c>
      <c r="D356" s="1" t="s">
        <v>28</v>
      </c>
      <c r="E356" s="1" t="s">
        <v>51</v>
      </c>
      <c r="F356" s="1" t="s">
        <v>33</v>
      </c>
      <c r="G356" s="1" t="str">
        <f t="shared" si="31"/>
        <v>Engineer</v>
      </c>
      <c r="H356" s="1">
        <v>90365</v>
      </c>
      <c r="I356" s="1">
        <f t="shared" si="32"/>
        <v>90365</v>
      </c>
      <c r="J356" s="1"/>
      <c r="K356" s="14">
        <f t="shared" si="33"/>
        <v>3</v>
      </c>
      <c r="L356" s="1">
        <v>4</v>
      </c>
      <c r="M356" s="1">
        <f t="shared" si="34"/>
        <v>4</v>
      </c>
      <c r="N356" s="1">
        <v>2</v>
      </c>
      <c r="O356" s="1">
        <f t="shared" si="35"/>
        <v>2</v>
      </c>
      <c r="P356" s="1" t="s">
        <v>20</v>
      </c>
      <c r="Q356" s="1">
        <v>17</v>
      </c>
      <c r="R356" s="1" t="s">
        <v>20</v>
      </c>
      <c r="S356" s="1" t="s">
        <v>30</v>
      </c>
      <c r="T356" s="1">
        <v>44</v>
      </c>
      <c r="U356" s="3" t="s">
        <v>31</v>
      </c>
    </row>
    <row r="357" spans="1:21" x14ac:dyDescent="0.25">
      <c r="A357" s="2" t="s">
        <v>394</v>
      </c>
      <c r="B357" s="1">
        <v>43</v>
      </c>
      <c r="C357" s="14">
        <f t="shared" si="30"/>
        <v>43</v>
      </c>
      <c r="D357" s="1" t="s">
        <v>28</v>
      </c>
      <c r="E357" s="1" t="s">
        <v>17</v>
      </c>
      <c r="F357" s="1" t="s">
        <v>41</v>
      </c>
      <c r="G357" s="1" t="str">
        <f t="shared" si="31"/>
        <v>Executive</v>
      </c>
      <c r="H357" s="1">
        <v>104413</v>
      </c>
      <c r="I357" s="1">
        <f t="shared" si="32"/>
        <v>104413</v>
      </c>
      <c r="J357" s="1">
        <v>1</v>
      </c>
      <c r="K357" s="14">
        <f t="shared" si="33"/>
        <v>1</v>
      </c>
      <c r="L357" s="1">
        <v>2</v>
      </c>
      <c r="M357" s="1">
        <f t="shared" si="34"/>
        <v>2</v>
      </c>
      <c r="N357" s="1">
        <v>4</v>
      </c>
      <c r="O357" s="1">
        <f t="shared" si="35"/>
        <v>4</v>
      </c>
      <c r="P357" s="1" t="s">
        <v>19</v>
      </c>
      <c r="Q357" s="1">
        <v>3</v>
      </c>
      <c r="R357" s="1" t="s">
        <v>19</v>
      </c>
      <c r="S357" s="1" t="s">
        <v>26</v>
      </c>
      <c r="T357" s="1">
        <v>56</v>
      </c>
      <c r="U357" s="3" t="s">
        <v>36</v>
      </c>
    </row>
    <row r="358" spans="1:21" x14ac:dyDescent="0.25">
      <c r="A358" s="2" t="s">
        <v>395</v>
      </c>
      <c r="B358" s="1">
        <v>56</v>
      </c>
      <c r="C358" s="14">
        <f t="shared" si="30"/>
        <v>56</v>
      </c>
      <c r="D358" s="1" t="s">
        <v>16</v>
      </c>
      <c r="E358" s="1" t="s">
        <v>51</v>
      </c>
      <c r="F358" s="1" t="s">
        <v>33</v>
      </c>
      <c r="G358" s="1" t="str">
        <f t="shared" si="31"/>
        <v>Engineer</v>
      </c>
      <c r="H358" s="1">
        <v>101345</v>
      </c>
      <c r="I358" s="1">
        <f t="shared" si="32"/>
        <v>101345</v>
      </c>
      <c r="J358" s="1">
        <v>1</v>
      </c>
      <c r="K358" s="14">
        <f t="shared" si="33"/>
        <v>1</v>
      </c>
      <c r="L358" s="1"/>
      <c r="M358" s="1">
        <f t="shared" si="34"/>
        <v>3</v>
      </c>
      <c r="N358" s="1">
        <v>2</v>
      </c>
      <c r="O358" s="1">
        <f t="shared" si="35"/>
        <v>2</v>
      </c>
      <c r="P358" s="1" t="s">
        <v>20</v>
      </c>
      <c r="Q358" s="1">
        <v>19</v>
      </c>
      <c r="R358" s="1" t="s">
        <v>20</v>
      </c>
      <c r="S358" s="1" t="s">
        <v>21</v>
      </c>
      <c r="T358" s="1">
        <v>13</v>
      </c>
      <c r="U358" s="3" t="s">
        <v>36</v>
      </c>
    </row>
    <row r="359" spans="1:21" x14ac:dyDescent="0.25">
      <c r="A359" s="2" t="s">
        <v>396</v>
      </c>
      <c r="B359" s="1">
        <v>35</v>
      </c>
      <c r="C359" s="14">
        <f t="shared" si="30"/>
        <v>35</v>
      </c>
      <c r="D359" s="1" t="s">
        <v>28</v>
      </c>
      <c r="E359" s="1" t="s">
        <v>40</v>
      </c>
      <c r="F359" s="1" t="s">
        <v>25</v>
      </c>
      <c r="G359" s="1" t="str">
        <f t="shared" si="31"/>
        <v>Associate</v>
      </c>
      <c r="H359" s="1">
        <v>22948</v>
      </c>
      <c r="I359" s="1">
        <f t="shared" si="32"/>
        <v>22948</v>
      </c>
      <c r="J359" s="1">
        <v>4</v>
      </c>
      <c r="K359" s="14">
        <f t="shared" si="33"/>
        <v>4</v>
      </c>
      <c r="L359" s="1">
        <v>4</v>
      </c>
      <c r="M359" s="1">
        <f t="shared" si="34"/>
        <v>4</v>
      </c>
      <c r="N359" s="1">
        <v>5</v>
      </c>
      <c r="O359" s="1">
        <f t="shared" si="35"/>
        <v>5</v>
      </c>
      <c r="P359" s="1" t="s">
        <v>20</v>
      </c>
      <c r="Q359" s="1">
        <v>19</v>
      </c>
      <c r="R359" s="1" t="s">
        <v>19</v>
      </c>
      <c r="S359" s="1" t="s">
        <v>21</v>
      </c>
      <c r="T359" s="1">
        <v>68</v>
      </c>
      <c r="U359" s="3" t="s">
        <v>42</v>
      </c>
    </row>
    <row r="360" spans="1:21" x14ac:dyDescent="0.25">
      <c r="A360" s="2" t="s">
        <v>397</v>
      </c>
      <c r="B360" s="1">
        <v>21</v>
      </c>
      <c r="C360" s="14">
        <f t="shared" si="30"/>
        <v>21</v>
      </c>
      <c r="D360" s="1" t="s">
        <v>16</v>
      </c>
      <c r="E360" s="1" t="s">
        <v>17</v>
      </c>
      <c r="F360" s="1" t="s">
        <v>25</v>
      </c>
      <c r="G360" s="1" t="str">
        <f t="shared" si="31"/>
        <v>Associate</v>
      </c>
      <c r="H360" s="1">
        <v>55487</v>
      </c>
      <c r="I360" s="1">
        <f t="shared" si="32"/>
        <v>55487</v>
      </c>
      <c r="J360" s="1">
        <v>2</v>
      </c>
      <c r="K360" s="14">
        <f t="shared" si="33"/>
        <v>2</v>
      </c>
      <c r="L360" s="1">
        <v>1</v>
      </c>
      <c r="M360" s="1">
        <f t="shared" si="34"/>
        <v>1</v>
      </c>
      <c r="N360" s="1">
        <v>5</v>
      </c>
      <c r="O360" s="1">
        <f t="shared" si="35"/>
        <v>5</v>
      </c>
      <c r="P360" s="1" t="s">
        <v>19</v>
      </c>
      <c r="Q360" s="1">
        <v>19</v>
      </c>
      <c r="R360" s="1" t="s">
        <v>19</v>
      </c>
      <c r="S360" s="1" t="s">
        <v>26</v>
      </c>
      <c r="T360" s="1">
        <v>9</v>
      </c>
      <c r="U360" s="3" t="s">
        <v>36</v>
      </c>
    </row>
    <row r="361" spans="1:21" x14ac:dyDescent="0.25">
      <c r="A361" s="2" t="s">
        <v>398</v>
      </c>
      <c r="B361" s="1">
        <v>36</v>
      </c>
      <c r="C361" s="14">
        <f t="shared" si="30"/>
        <v>36</v>
      </c>
      <c r="D361" s="1" t="s">
        <v>16</v>
      </c>
      <c r="E361" s="1" t="s">
        <v>51</v>
      </c>
      <c r="F361" s="1" t="s">
        <v>35</v>
      </c>
      <c r="G361" s="1" t="str">
        <f t="shared" si="31"/>
        <v>Manager</v>
      </c>
      <c r="H361" s="1">
        <v>54167</v>
      </c>
      <c r="I361" s="1">
        <f t="shared" si="32"/>
        <v>54167</v>
      </c>
      <c r="J361" s="1">
        <v>4</v>
      </c>
      <c r="K361" s="14">
        <f t="shared" si="33"/>
        <v>4</v>
      </c>
      <c r="L361" s="1">
        <v>3</v>
      </c>
      <c r="M361" s="1">
        <f t="shared" si="34"/>
        <v>3</v>
      </c>
      <c r="N361" s="1">
        <v>4</v>
      </c>
      <c r="O361" s="1">
        <f t="shared" si="35"/>
        <v>4</v>
      </c>
      <c r="P361" s="1" t="s">
        <v>20</v>
      </c>
      <c r="Q361" s="1">
        <v>18</v>
      </c>
      <c r="R361" s="1" t="s">
        <v>19</v>
      </c>
      <c r="S361" s="1" t="s">
        <v>26</v>
      </c>
      <c r="T361" s="1">
        <v>6</v>
      </c>
      <c r="U361" s="3" t="s">
        <v>22</v>
      </c>
    </row>
    <row r="362" spans="1:21" x14ac:dyDescent="0.25">
      <c r="A362" s="2" t="s">
        <v>399</v>
      </c>
      <c r="B362" s="1">
        <v>26</v>
      </c>
      <c r="C362" s="14">
        <f t="shared" si="30"/>
        <v>26</v>
      </c>
      <c r="D362" s="1" t="s">
        <v>28</v>
      </c>
      <c r="E362" s="1" t="s">
        <v>17</v>
      </c>
      <c r="F362" s="1" t="s">
        <v>25</v>
      </c>
      <c r="G362" s="1" t="str">
        <f t="shared" si="31"/>
        <v>Associate</v>
      </c>
      <c r="H362" s="1">
        <v>94406</v>
      </c>
      <c r="I362" s="1">
        <f t="shared" si="32"/>
        <v>94406</v>
      </c>
      <c r="J362" s="1">
        <v>3</v>
      </c>
      <c r="K362" s="14">
        <f t="shared" si="33"/>
        <v>3</v>
      </c>
      <c r="L362" s="1">
        <v>3</v>
      </c>
      <c r="M362" s="1">
        <f t="shared" si="34"/>
        <v>3</v>
      </c>
      <c r="N362" s="1">
        <v>3</v>
      </c>
      <c r="O362" s="1">
        <f t="shared" si="35"/>
        <v>3</v>
      </c>
      <c r="P362" s="1" t="s">
        <v>19</v>
      </c>
      <c r="Q362" s="1">
        <v>19</v>
      </c>
      <c r="R362" s="1" t="s">
        <v>19</v>
      </c>
      <c r="S362" s="1" t="s">
        <v>30</v>
      </c>
      <c r="T362" s="1">
        <v>56</v>
      </c>
      <c r="U362" s="3" t="s">
        <v>31</v>
      </c>
    </row>
    <row r="363" spans="1:21" x14ac:dyDescent="0.25">
      <c r="A363" s="2" t="s">
        <v>400</v>
      </c>
      <c r="B363" s="1">
        <v>21</v>
      </c>
      <c r="C363" s="14">
        <f t="shared" si="30"/>
        <v>21</v>
      </c>
      <c r="D363" s="1" t="s">
        <v>28</v>
      </c>
      <c r="E363" s="1" t="s">
        <v>51</v>
      </c>
      <c r="F363" s="1" t="s">
        <v>33</v>
      </c>
      <c r="G363" s="1" t="str">
        <f t="shared" si="31"/>
        <v>Engineer</v>
      </c>
      <c r="H363" s="1">
        <v>84353</v>
      </c>
      <c r="I363" s="1">
        <f t="shared" si="32"/>
        <v>84353</v>
      </c>
      <c r="J363" s="1">
        <v>1</v>
      </c>
      <c r="K363" s="14">
        <f t="shared" si="33"/>
        <v>1</v>
      </c>
      <c r="L363" s="1">
        <v>5</v>
      </c>
      <c r="M363" s="1">
        <f t="shared" si="34"/>
        <v>5</v>
      </c>
      <c r="N363" s="1">
        <v>1</v>
      </c>
      <c r="O363" s="1">
        <f t="shared" si="35"/>
        <v>1</v>
      </c>
      <c r="P363" s="1" t="s">
        <v>20</v>
      </c>
      <c r="Q363" s="1">
        <v>10</v>
      </c>
      <c r="R363" s="1" t="s">
        <v>19</v>
      </c>
      <c r="S363" s="1" t="s">
        <v>26</v>
      </c>
      <c r="T363" s="1">
        <v>37</v>
      </c>
      <c r="U363" s="3" t="s">
        <v>31</v>
      </c>
    </row>
    <row r="364" spans="1:21" x14ac:dyDescent="0.25">
      <c r="A364" s="2" t="s">
        <v>401</v>
      </c>
      <c r="B364" s="1">
        <v>57</v>
      </c>
      <c r="C364" s="14">
        <f t="shared" si="30"/>
        <v>57</v>
      </c>
      <c r="D364" s="1" t="s">
        <v>28</v>
      </c>
      <c r="E364" s="1" t="s">
        <v>17</v>
      </c>
      <c r="F364" s="1" t="s">
        <v>33</v>
      </c>
      <c r="G364" s="1" t="str">
        <f t="shared" si="31"/>
        <v>Engineer</v>
      </c>
      <c r="H364" s="1">
        <v>67424</v>
      </c>
      <c r="I364" s="1">
        <f t="shared" si="32"/>
        <v>67424</v>
      </c>
      <c r="J364" s="1">
        <v>5</v>
      </c>
      <c r="K364" s="14">
        <f t="shared" si="33"/>
        <v>5</v>
      </c>
      <c r="L364" s="1">
        <v>4</v>
      </c>
      <c r="M364" s="1">
        <f t="shared" si="34"/>
        <v>4</v>
      </c>
      <c r="N364" s="1">
        <v>2</v>
      </c>
      <c r="O364" s="1">
        <f t="shared" si="35"/>
        <v>2</v>
      </c>
      <c r="P364" s="1" t="s">
        <v>20</v>
      </c>
      <c r="Q364" s="1">
        <v>14</v>
      </c>
      <c r="R364" s="1" t="s">
        <v>20</v>
      </c>
      <c r="S364" s="1" t="s">
        <v>26</v>
      </c>
      <c r="T364" s="1">
        <v>8</v>
      </c>
      <c r="U364" s="3" t="s">
        <v>42</v>
      </c>
    </row>
    <row r="365" spans="1:21" x14ac:dyDescent="0.25">
      <c r="A365" s="2" t="s">
        <v>402</v>
      </c>
      <c r="B365" s="1">
        <v>28</v>
      </c>
      <c r="C365" s="14">
        <f t="shared" si="30"/>
        <v>28</v>
      </c>
      <c r="D365" s="1" t="s">
        <v>28</v>
      </c>
      <c r="E365" s="1" t="s">
        <v>40</v>
      </c>
      <c r="F365" s="1" t="s">
        <v>33</v>
      </c>
      <c r="G365" s="1" t="str">
        <f t="shared" si="31"/>
        <v>Engineer</v>
      </c>
      <c r="H365" s="1">
        <v>101055</v>
      </c>
      <c r="I365" s="1">
        <f t="shared" si="32"/>
        <v>101055</v>
      </c>
      <c r="J365" s="1">
        <v>2</v>
      </c>
      <c r="K365" s="14">
        <f t="shared" si="33"/>
        <v>2</v>
      </c>
      <c r="L365" s="1">
        <v>2</v>
      </c>
      <c r="M365" s="1">
        <f t="shared" si="34"/>
        <v>2</v>
      </c>
      <c r="N365" s="1">
        <v>3</v>
      </c>
      <c r="O365" s="1">
        <f t="shared" si="35"/>
        <v>3</v>
      </c>
      <c r="P365" s="1" t="s">
        <v>20</v>
      </c>
      <c r="Q365" s="1">
        <v>11</v>
      </c>
      <c r="R365" s="1" t="s">
        <v>19</v>
      </c>
      <c r="S365" s="1" t="s">
        <v>26</v>
      </c>
      <c r="T365" s="1">
        <v>38</v>
      </c>
      <c r="U365" s="3" t="s">
        <v>44</v>
      </c>
    </row>
    <row r="366" spans="1:21" x14ac:dyDescent="0.25">
      <c r="A366" s="2" t="s">
        <v>403</v>
      </c>
      <c r="B366" s="1">
        <v>39</v>
      </c>
      <c r="C366" s="14">
        <f t="shared" si="30"/>
        <v>39</v>
      </c>
      <c r="D366" s="1" t="s">
        <v>16</v>
      </c>
      <c r="E366" s="1" t="s">
        <v>49</v>
      </c>
      <c r="F366" s="1" t="s">
        <v>38</v>
      </c>
      <c r="G366" s="1" t="str">
        <f t="shared" si="31"/>
        <v>Lead</v>
      </c>
      <c r="H366" s="1">
        <v>116145</v>
      </c>
      <c r="I366" s="1">
        <f t="shared" si="32"/>
        <v>116145</v>
      </c>
      <c r="J366" s="1">
        <v>3</v>
      </c>
      <c r="K366" s="14">
        <f t="shared" si="33"/>
        <v>3</v>
      </c>
      <c r="L366" s="1">
        <v>1</v>
      </c>
      <c r="M366" s="1">
        <f t="shared" si="34"/>
        <v>1</v>
      </c>
      <c r="N366" s="1">
        <v>5</v>
      </c>
      <c r="O366" s="1">
        <f t="shared" si="35"/>
        <v>5</v>
      </c>
      <c r="P366" s="1" t="s">
        <v>19</v>
      </c>
      <c r="Q366" s="1">
        <v>15</v>
      </c>
      <c r="R366" s="1" t="s">
        <v>20</v>
      </c>
      <c r="S366" s="1" t="s">
        <v>30</v>
      </c>
      <c r="T366" s="1">
        <v>32</v>
      </c>
      <c r="U366" s="3" t="s">
        <v>31</v>
      </c>
    </row>
    <row r="367" spans="1:21" x14ac:dyDescent="0.25">
      <c r="A367" s="2" t="s">
        <v>404</v>
      </c>
      <c r="B367" s="1">
        <v>38</v>
      </c>
      <c r="C367" s="14">
        <f t="shared" si="30"/>
        <v>38</v>
      </c>
      <c r="D367" s="1" t="s">
        <v>16</v>
      </c>
      <c r="E367" s="1" t="s">
        <v>17</v>
      </c>
      <c r="F367" s="1" t="s">
        <v>38</v>
      </c>
      <c r="G367" s="1" t="str">
        <f t="shared" si="31"/>
        <v>Lead</v>
      </c>
      <c r="H367" s="1">
        <v>42925</v>
      </c>
      <c r="I367" s="1">
        <f t="shared" si="32"/>
        <v>42925</v>
      </c>
      <c r="J367" s="1">
        <v>4</v>
      </c>
      <c r="K367" s="14">
        <f t="shared" si="33"/>
        <v>4</v>
      </c>
      <c r="L367" s="1">
        <v>2</v>
      </c>
      <c r="M367" s="1">
        <f t="shared" si="34"/>
        <v>2</v>
      </c>
      <c r="N367" s="1">
        <v>2</v>
      </c>
      <c r="O367" s="1">
        <f t="shared" si="35"/>
        <v>2</v>
      </c>
      <c r="P367" s="1" t="s">
        <v>19</v>
      </c>
      <c r="Q367" s="1">
        <v>8</v>
      </c>
      <c r="R367" s="1" t="s">
        <v>19</v>
      </c>
      <c r="S367" s="1" t="s">
        <v>21</v>
      </c>
      <c r="T367" s="1">
        <v>30</v>
      </c>
      <c r="U367" s="3" t="s">
        <v>44</v>
      </c>
    </row>
    <row r="368" spans="1:21" x14ac:dyDescent="0.25">
      <c r="A368" s="2" t="s">
        <v>405</v>
      </c>
      <c r="B368" s="1">
        <v>43</v>
      </c>
      <c r="C368" s="14">
        <f t="shared" si="30"/>
        <v>43</v>
      </c>
      <c r="D368" s="1" t="s">
        <v>16</v>
      </c>
      <c r="E368" s="1" t="s">
        <v>40</v>
      </c>
      <c r="F368" s="1" t="s">
        <v>35</v>
      </c>
      <c r="G368" s="1" t="str">
        <f t="shared" si="31"/>
        <v>Manager</v>
      </c>
      <c r="H368" s="1">
        <v>28287</v>
      </c>
      <c r="I368" s="1">
        <f t="shared" si="32"/>
        <v>28287</v>
      </c>
      <c r="J368" s="1">
        <v>4</v>
      </c>
      <c r="K368" s="14">
        <f t="shared" si="33"/>
        <v>4</v>
      </c>
      <c r="L368" s="1">
        <v>5</v>
      </c>
      <c r="M368" s="1">
        <f t="shared" si="34"/>
        <v>5</v>
      </c>
      <c r="N368" s="1">
        <v>1</v>
      </c>
      <c r="O368" s="1">
        <f t="shared" si="35"/>
        <v>1</v>
      </c>
      <c r="P368" s="1" t="s">
        <v>19</v>
      </c>
      <c r="Q368" s="1">
        <v>15</v>
      </c>
      <c r="R368" s="1" t="s">
        <v>20</v>
      </c>
      <c r="S368" s="1" t="s">
        <v>26</v>
      </c>
      <c r="T368" s="1">
        <v>45</v>
      </c>
      <c r="U368" s="3" t="s">
        <v>42</v>
      </c>
    </row>
    <row r="369" spans="1:21" x14ac:dyDescent="0.25">
      <c r="A369" s="2" t="s">
        <v>406</v>
      </c>
      <c r="B369" s="1">
        <v>57</v>
      </c>
      <c r="C369" s="14">
        <f t="shared" si="30"/>
        <v>57</v>
      </c>
      <c r="D369" s="1" t="s">
        <v>28</v>
      </c>
      <c r="E369" s="1" t="s">
        <v>49</v>
      </c>
      <c r="F369" s="1" t="s">
        <v>41</v>
      </c>
      <c r="G369" s="1" t="str">
        <f t="shared" si="31"/>
        <v>Executive</v>
      </c>
      <c r="H369" s="1">
        <v>118173</v>
      </c>
      <c r="I369" s="1">
        <f t="shared" si="32"/>
        <v>118173</v>
      </c>
      <c r="J369" s="1">
        <v>5</v>
      </c>
      <c r="K369" s="14">
        <f t="shared" si="33"/>
        <v>5</v>
      </c>
      <c r="L369" s="1">
        <v>3</v>
      </c>
      <c r="M369" s="1">
        <f t="shared" si="34"/>
        <v>3</v>
      </c>
      <c r="N369" s="1">
        <v>4</v>
      </c>
      <c r="O369" s="1">
        <f t="shared" si="35"/>
        <v>4</v>
      </c>
      <c r="P369" s="1" t="s">
        <v>19</v>
      </c>
      <c r="Q369" s="1">
        <v>18</v>
      </c>
      <c r="R369" s="1" t="s">
        <v>19</v>
      </c>
      <c r="S369" s="1" t="s">
        <v>21</v>
      </c>
      <c r="T369" s="1">
        <v>72</v>
      </c>
      <c r="U369" s="3" t="s">
        <v>42</v>
      </c>
    </row>
    <row r="370" spans="1:21" x14ac:dyDescent="0.25">
      <c r="A370" s="2" t="s">
        <v>407</v>
      </c>
      <c r="B370" s="1">
        <v>51</v>
      </c>
      <c r="C370" s="14">
        <f t="shared" si="30"/>
        <v>51</v>
      </c>
      <c r="D370" s="1" t="s">
        <v>16</v>
      </c>
      <c r="E370" s="1" t="s">
        <v>24</v>
      </c>
      <c r="F370" s="1" t="s">
        <v>18</v>
      </c>
      <c r="G370" s="1" t="str">
        <f t="shared" si="31"/>
        <v>Analyst</v>
      </c>
      <c r="H370" s="1"/>
      <c r="I370" s="1">
        <f t="shared" si="32"/>
        <v>68925</v>
      </c>
      <c r="J370" s="1">
        <v>2</v>
      </c>
      <c r="K370" s="14">
        <f t="shared" si="33"/>
        <v>2</v>
      </c>
      <c r="L370" s="1">
        <v>4</v>
      </c>
      <c r="M370" s="1">
        <f t="shared" si="34"/>
        <v>4</v>
      </c>
      <c r="N370" s="1">
        <v>1</v>
      </c>
      <c r="O370" s="1">
        <f t="shared" si="35"/>
        <v>1</v>
      </c>
      <c r="P370" s="1" t="s">
        <v>20</v>
      </c>
      <c r="Q370" s="1">
        <v>10</v>
      </c>
      <c r="R370" s="1" t="s">
        <v>19</v>
      </c>
      <c r="S370" s="1" t="s">
        <v>21</v>
      </c>
      <c r="T370" s="1">
        <v>31</v>
      </c>
      <c r="U370" s="3" t="s">
        <v>42</v>
      </c>
    </row>
    <row r="371" spans="1:21" x14ac:dyDescent="0.25">
      <c r="A371" s="2" t="s">
        <v>408</v>
      </c>
      <c r="B371" s="1">
        <v>58</v>
      </c>
      <c r="C371" s="14">
        <f t="shared" si="30"/>
        <v>58</v>
      </c>
      <c r="D371" s="1" t="s">
        <v>16</v>
      </c>
      <c r="E371" s="1" t="s">
        <v>29</v>
      </c>
      <c r="F371" s="1" t="s">
        <v>18</v>
      </c>
      <c r="G371" s="1" t="str">
        <f t="shared" si="31"/>
        <v>Analyst</v>
      </c>
      <c r="H371" s="1">
        <v>98318</v>
      </c>
      <c r="I371" s="1">
        <f t="shared" si="32"/>
        <v>98318</v>
      </c>
      <c r="J371" s="1">
        <v>3</v>
      </c>
      <c r="K371" s="14">
        <f t="shared" si="33"/>
        <v>3</v>
      </c>
      <c r="L371" s="1">
        <v>2</v>
      </c>
      <c r="M371" s="1">
        <f t="shared" si="34"/>
        <v>2</v>
      </c>
      <c r="N371" s="1">
        <v>5</v>
      </c>
      <c r="O371" s="1">
        <f t="shared" si="35"/>
        <v>5</v>
      </c>
      <c r="P371" s="1" t="s">
        <v>20</v>
      </c>
      <c r="Q371" s="1">
        <v>7</v>
      </c>
      <c r="R371" s="1" t="s">
        <v>20</v>
      </c>
      <c r="S371" s="1" t="s">
        <v>30</v>
      </c>
      <c r="T371" s="1">
        <v>48</v>
      </c>
      <c r="U371" s="3" t="s">
        <v>36</v>
      </c>
    </row>
    <row r="372" spans="1:21" x14ac:dyDescent="0.25">
      <c r="A372" s="2" t="s">
        <v>409</v>
      </c>
      <c r="B372" s="1">
        <v>32</v>
      </c>
      <c r="C372" s="14">
        <f t="shared" si="30"/>
        <v>32</v>
      </c>
      <c r="D372" s="1" t="s">
        <v>28</v>
      </c>
      <c r="E372" s="1" t="s">
        <v>49</v>
      </c>
      <c r="F372" s="1" t="s">
        <v>41</v>
      </c>
      <c r="G372" s="1" t="str">
        <f t="shared" si="31"/>
        <v>Executive</v>
      </c>
      <c r="H372" s="1">
        <v>72931</v>
      </c>
      <c r="I372" s="1">
        <f t="shared" si="32"/>
        <v>72931</v>
      </c>
      <c r="J372" s="1">
        <v>3</v>
      </c>
      <c r="K372" s="14">
        <f t="shared" si="33"/>
        <v>3</v>
      </c>
      <c r="L372" s="1">
        <v>3</v>
      </c>
      <c r="M372" s="1">
        <f t="shared" si="34"/>
        <v>3</v>
      </c>
      <c r="N372" s="1">
        <v>4</v>
      </c>
      <c r="O372" s="1">
        <f t="shared" si="35"/>
        <v>4</v>
      </c>
      <c r="P372" s="1" t="s">
        <v>20</v>
      </c>
      <c r="Q372" s="1">
        <v>14</v>
      </c>
      <c r="R372" s="1" t="s">
        <v>19</v>
      </c>
      <c r="S372" s="1" t="s">
        <v>26</v>
      </c>
      <c r="T372" s="1">
        <v>21</v>
      </c>
      <c r="U372" s="3" t="s">
        <v>31</v>
      </c>
    </row>
    <row r="373" spans="1:21" x14ac:dyDescent="0.25">
      <c r="A373" s="2" t="s">
        <v>410</v>
      </c>
      <c r="B373" s="1">
        <v>35</v>
      </c>
      <c r="C373" s="14">
        <f t="shared" si="30"/>
        <v>35</v>
      </c>
      <c r="D373" s="1" t="s">
        <v>16</v>
      </c>
      <c r="E373" s="1" t="s">
        <v>17</v>
      </c>
      <c r="F373" s="1" t="s">
        <v>18</v>
      </c>
      <c r="G373" s="1" t="str">
        <f t="shared" si="31"/>
        <v>Analyst</v>
      </c>
      <c r="H373" s="1">
        <v>48907</v>
      </c>
      <c r="I373" s="1">
        <f t="shared" si="32"/>
        <v>48907</v>
      </c>
      <c r="J373" s="1">
        <v>5</v>
      </c>
      <c r="K373" s="14">
        <f t="shared" si="33"/>
        <v>5</v>
      </c>
      <c r="L373" s="1">
        <v>4</v>
      </c>
      <c r="M373" s="1">
        <f t="shared" si="34"/>
        <v>4</v>
      </c>
      <c r="N373" s="1">
        <v>4</v>
      </c>
      <c r="O373" s="1">
        <f t="shared" si="35"/>
        <v>4</v>
      </c>
      <c r="P373" s="1" t="s">
        <v>19</v>
      </c>
      <c r="Q373" s="1">
        <v>4</v>
      </c>
      <c r="R373" s="1" t="s">
        <v>19</v>
      </c>
      <c r="S373" s="1" t="s">
        <v>30</v>
      </c>
      <c r="T373" s="1">
        <v>6</v>
      </c>
      <c r="U373" s="3" t="s">
        <v>44</v>
      </c>
    </row>
    <row r="374" spans="1:21" x14ac:dyDescent="0.25">
      <c r="A374" s="2" t="s">
        <v>411</v>
      </c>
      <c r="B374" s="1">
        <v>47</v>
      </c>
      <c r="C374" s="14">
        <f t="shared" si="30"/>
        <v>47</v>
      </c>
      <c r="D374" s="1" t="s">
        <v>28</v>
      </c>
      <c r="E374" s="1" t="s">
        <v>51</v>
      </c>
      <c r="F374" s="1" t="s">
        <v>38</v>
      </c>
      <c r="G374" s="1" t="str">
        <f t="shared" si="31"/>
        <v>Lead</v>
      </c>
      <c r="H374" s="1">
        <v>85765</v>
      </c>
      <c r="I374" s="1">
        <f t="shared" si="32"/>
        <v>85765</v>
      </c>
      <c r="J374" s="1">
        <v>5</v>
      </c>
      <c r="K374" s="14">
        <f t="shared" si="33"/>
        <v>5</v>
      </c>
      <c r="L374" s="1">
        <v>3</v>
      </c>
      <c r="M374" s="1">
        <f t="shared" si="34"/>
        <v>3</v>
      </c>
      <c r="N374" s="1">
        <v>4</v>
      </c>
      <c r="O374" s="1">
        <f t="shared" si="35"/>
        <v>4</v>
      </c>
      <c r="P374" s="1" t="s">
        <v>20</v>
      </c>
      <c r="Q374" s="1">
        <v>8</v>
      </c>
      <c r="R374" s="1" t="s">
        <v>19</v>
      </c>
      <c r="S374" s="1" t="s">
        <v>30</v>
      </c>
      <c r="T374" s="1">
        <v>17</v>
      </c>
      <c r="U374" s="3" t="s">
        <v>44</v>
      </c>
    </row>
    <row r="375" spans="1:21" x14ac:dyDescent="0.25">
      <c r="A375" s="2" t="s">
        <v>412</v>
      </c>
      <c r="B375" s="1">
        <v>24</v>
      </c>
      <c r="C375" s="14">
        <f t="shared" si="30"/>
        <v>24</v>
      </c>
      <c r="D375" s="1" t="s">
        <v>16</v>
      </c>
      <c r="E375" s="1" t="s">
        <v>29</v>
      </c>
      <c r="F375" s="1" t="s">
        <v>33</v>
      </c>
      <c r="G375" s="1" t="str">
        <f t="shared" si="31"/>
        <v>Engineer</v>
      </c>
      <c r="H375" s="1">
        <v>100557</v>
      </c>
      <c r="I375" s="1">
        <f t="shared" si="32"/>
        <v>100557</v>
      </c>
      <c r="J375" s="1">
        <v>1</v>
      </c>
      <c r="K375" s="14">
        <f t="shared" si="33"/>
        <v>1</v>
      </c>
      <c r="L375" s="1">
        <v>4</v>
      </c>
      <c r="M375" s="1">
        <f t="shared" si="34"/>
        <v>4</v>
      </c>
      <c r="N375" s="1"/>
      <c r="O375" s="1">
        <f t="shared" si="35"/>
        <v>3</v>
      </c>
      <c r="P375" s="1" t="s">
        <v>20</v>
      </c>
      <c r="Q375" s="1">
        <v>11</v>
      </c>
      <c r="R375" s="1" t="s">
        <v>20</v>
      </c>
      <c r="S375" s="1" t="s">
        <v>26</v>
      </c>
      <c r="T375" s="1">
        <v>76</v>
      </c>
      <c r="U375" s="3" t="s">
        <v>36</v>
      </c>
    </row>
    <row r="376" spans="1:21" x14ac:dyDescent="0.25">
      <c r="A376" s="2" t="s">
        <v>413</v>
      </c>
      <c r="B376" s="1">
        <v>43</v>
      </c>
      <c r="C376" s="14">
        <f t="shared" si="30"/>
        <v>43</v>
      </c>
      <c r="D376" s="1" t="s">
        <v>16</v>
      </c>
      <c r="E376" s="1" t="s">
        <v>49</v>
      </c>
      <c r="F376" s="1" t="s">
        <v>35</v>
      </c>
      <c r="G376" s="1" t="str">
        <f t="shared" si="31"/>
        <v>Manager</v>
      </c>
      <c r="H376" s="1">
        <v>64018</v>
      </c>
      <c r="I376" s="1">
        <f t="shared" si="32"/>
        <v>64018</v>
      </c>
      <c r="J376" s="1">
        <v>5</v>
      </c>
      <c r="K376" s="14">
        <f t="shared" si="33"/>
        <v>5</v>
      </c>
      <c r="L376" s="1">
        <v>2</v>
      </c>
      <c r="M376" s="1">
        <f t="shared" si="34"/>
        <v>2</v>
      </c>
      <c r="N376" s="1">
        <v>5</v>
      </c>
      <c r="O376" s="1">
        <f t="shared" si="35"/>
        <v>5</v>
      </c>
      <c r="P376" s="1" t="s">
        <v>19</v>
      </c>
      <c r="Q376" s="1">
        <v>9</v>
      </c>
      <c r="R376" s="1" t="s">
        <v>20</v>
      </c>
      <c r="S376" s="1" t="s">
        <v>30</v>
      </c>
      <c r="T376" s="1">
        <v>70</v>
      </c>
      <c r="U376" s="3" t="s">
        <v>42</v>
      </c>
    </row>
    <row r="377" spans="1:21" x14ac:dyDescent="0.25">
      <c r="A377" s="2" t="s">
        <v>414</v>
      </c>
      <c r="B377" s="1">
        <v>49</v>
      </c>
      <c r="C377" s="14">
        <f t="shared" si="30"/>
        <v>49</v>
      </c>
      <c r="D377" s="1" t="s">
        <v>16</v>
      </c>
      <c r="E377" s="1" t="s">
        <v>49</v>
      </c>
      <c r="F377" s="1" t="s">
        <v>25</v>
      </c>
      <c r="G377" s="1" t="str">
        <f t="shared" si="31"/>
        <v>Associate</v>
      </c>
      <c r="H377" s="1">
        <v>55555</v>
      </c>
      <c r="I377" s="1">
        <f t="shared" si="32"/>
        <v>55555</v>
      </c>
      <c r="J377" s="1">
        <v>4</v>
      </c>
      <c r="K377" s="14">
        <f t="shared" si="33"/>
        <v>4</v>
      </c>
      <c r="L377" s="1"/>
      <c r="M377" s="1">
        <f t="shared" si="34"/>
        <v>3</v>
      </c>
      <c r="N377" s="1">
        <v>2</v>
      </c>
      <c r="O377" s="1">
        <f t="shared" si="35"/>
        <v>2</v>
      </c>
      <c r="P377" s="1" t="s">
        <v>20</v>
      </c>
      <c r="Q377" s="1">
        <v>13</v>
      </c>
      <c r="R377" s="1" t="s">
        <v>20</v>
      </c>
      <c r="S377" s="1" t="s">
        <v>21</v>
      </c>
      <c r="T377" s="1">
        <v>15</v>
      </c>
      <c r="U377" s="3" t="s">
        <v>44</v>
      </c>
    </row>
    <row r="378" spans="1:21" x14ac:dyDescent="0.25">
      <c r="A378" s="2" t="s">
        <v>415</v>
      </c>
      <c r="B378" s="1">
        <v>42</v>
      </c>
      <c r="C378" s="14">
        <f t="shared" si="30"/>
        <v>42</v>
      </c>
      <c r="D378" s="1" t="s">
        <v>16</v>
      </c>
      <c r="E378" s="1" t="s">
        <v>29</v>
      </c>
      <c r="F378" s="1" t="s">
        <v>18</v>
      </c>
      <c r="G378" s="1" t="str">
        <f t="shared" si="31"/>
        <v>Analyst</v>
      </c>
      <c r="H378" s="1">
        <v>103591</v>
      </c>
      <c r="I378" s="1">
        <f t="shared" si="32"/>
        <v>103591</v>
      </c>
      <c r="J378" s="1">
        <v>3</v>
      </c>
      <c r="K378" s="14">
        <f t="shared" si="33"/>
        <v>3</v>
      </c>
      <c r="L378" s="1">
        <v>3</v>
      </c>
      <c r="M378" s="1">
        <f t="shared" si="34"/>
        <v>3</v>
      </c>
      <c r="N378" s="1"/>
      <c r="O378" s="1">
        <f t="shared" si="35"/>
        <v>3</v>
      </c>
      <c r="P378" s="1" t="s">
        <v>20</v>
      </c>
      <c r="Q378" s="1">
        <v>8</v>
      </c>
      <c r="R378" s="1" t="s">
        <v>20</v>
      </c>
      <c r="S378" s="1" t="s">
        <v>30</v>
      </c>
      <c r="T378" s="1">
        <v>80</v>
      </c>
      <c r="U378" s="3" t="s">
        <v>31</v>
      </c>
    </row>
    <row r="379" spans="1:21" x14ac:dyDescent="0.25">
      <c r="A379" s="2" t="s">
        <v>416</v>
      </c>
      <c r="B379" s="1">
        <v>49</v>
      </c>
      <c r="C379" s="14">
        <f t="shared" si="30"/>
        <v>49</v>
      </c>
      <c r="D379" s="1" t="s">
        <v>28</v>
      </c>
      <c r="E379" s="1" t="s">
        <v>51</v>
      </c>
      <c r="F379" s="1" t="s">
        <v>41</v>
      </c>
      <c r="G379" s="1" t="str">
        <f t="shared" si="31"/>
        <v>Executive</v>
      </c>
      <c r="H379" s="1">
        <v>21027</v>
      </c>
      <c r="I379" s="1">
        <f t="shared" si="32"/>
        <v>21027</v>
      </c>
      <c r="J379" s="1">
        <v>2</v>
      </c>
      <c r="K379" s="14">
        <f t="shared" si="33"/>
        <v>2</v>
      </c>
      <c r="L379" s="1">
        <v>2</v>
      </c>
      <c r="M379" s="1">
        <f t="shared" si="34"/>
        <v>2</v>
      </c>
      <c r="N379" s="1">
        <v>3</v>
      </c>
      <c r="O379" s="1">
        <f t="shared" si="35"/>
        <v>3</v>
      </c>
      <c r="P379" s="1" t="s">
        <v>19</v>
      </c>
      <c r="Q379" s="1">
        <v>6</v>
      </c>
      <c r="R379" s="1" t="s">
        <v>19</v>
      </c>
      <c r="S379" s="1" t="s">
        <v>30</v>
      </c>
      <c r="T379" s="1">
        <v>18</v>
      </c>
      <c r="U379" s="3" t="s">
        <v>22</v>
      </c>
    </row>
    <row r="380" spans="1:21" x14ac:dyDescent="0.25">
      <c r="A380" s="2" t="s">
        <v>417</v>
      </c>
      <c r="B380" s="1">
        <v>25</v>
      </c>
      <c r="C380" s="14">
        <f t="shared" si="30"/>
        <v>25</v>
      </c>
      <c r="D380" s="1" t="s">
        <v>28</v>
      </c>
      <c r="E380" s="1" t="s">
        <v>24</v>
      </c>
      <c r="F380" s="1" t="s">
        <v>35</v>
      </c>
      <c r="G380" s="1" t="str">
        <f t="shared" si="31"/>
        <v>Manager</v>
      </c>
      <c r="H380" s="1">
        <v>21455</v>
      </c>
      <c r="I380" s="1">
        <f t="shared" si="32"/>
        <v>21455</v>
      </c>
      <c r="J380" s="1">
        <v>4</v>
      </c>
      <c r="K380" s="14">
        <f t="shared" si="33"/>
        <v>4</v>
      </c>
      <c r="L380" s="1">
        <v>5</v>
      </c>
      <c r="M380" s="1">
        <f t="shared" si="34"/>
        <v>5</v>
      </c>
      <c r="N380" s="1">
        <v>1</v>
      </c>
      <c r="O380" s="1">
        <f t="shared" si="35"/>
        <v>1</v>
      </c>
      <c r="P380" s="1" t="s">
        <v>19</v>
      </c>
      <c r="Q380" s="1">
        <v>8</v>
      </c>
      <c r="R380" s="1" t="s">
        <v>19</v>
      </c>
      <c r="S380" s="1" t="s">
        <v>21</v>
      </c>
      <c r="T380" s="1">
        <v>54</v>
      </c>
      <c r="U380" s="3" t="s">
        <v>36</v>
      </c>
    </row>
    <row r="381" spans="1:21" x14ac:dyDescent="0.25">
      <c r="A381" s="2" t="s">
        <v>418</v>
      </c>
      <c r="B381" s="1">
        <v>35</v>
      </c>
      <c r="C381" s="14">
        <f t="shared" si="30"/>
        <v>35</v>
      </c>
      <c r="D381" s="1" t="s">
        <v>16</v>
      </c>
      <c r="E381" s="1" t="s">
        <v>17</v>
      </c>
      <c r="F381" s="1" t="s">
        <v>18</v>
      </c>
      <c r="G381" s="1" t="str">
        <f t="shared" si="31"/>
        <v>Analyst</v>
      </c>
      <c r="H381" s="1">
        <v>76085</v>
      </c>
      <c r="I381" s="1">
        <f t="shared" si="32"/>
        <v>76085</v>
      </c>
      <c r="J381" s="1">
        <v>2</v>
      </c>
      <c r="K381" s="14">
        <f t="shared" si="33"/>
        <v>2</v>
      </c>
      <c r="L381" s="1">
        <v>2</v>
      </c>
      <c r="M381" s="1">
        <f t="shared" si="34"/>
        <v>2</v>
      </c>
      <c r="N381" s="1">
        <v>5</v>
      </c>
      <c r="O381" s="1">
        <f t="shared" si="35"/>
        <v>5</v>
      </c>
      <c r="P381" s="1" t="s">
        <v>19</v>
      </c>
      <c r="Q381" s="1">
        <v>0</v>
      </c>
      <c r="R381" s="1" t="s">
        <v>19</v>
      </c>
      <c r="S381" s="1" t="s">
        <v>26</v>
      </c>
      <c r="T381" s="1">
        <v>50</v>
      </c>
      <c r="U381" s="3" t="s">
        <v>36</v>
      </c>
    </row>
    <row r="382" spans="1:21" x14ac:dyDescent="0.25">
      <c r="A382" s="2" t="s">
        <v>419</v>
      </c>
      <c r="B382" s="1">
        <v>51</v>
      </c>
      <c r="C382" s="14">
        <f t="shared" si="30"/>
        <v>51</v>
      </c>
      <c r="D382" s="1" t="s">
        <v>28</v>
      </c>
      <c r="E382" s="1" t="s">
        <v>24</v>
      </c>
      <c r="F382" s="1" t="s">
        <v>18</v>
      </c>
      <c r="G382" s="1" t="str">
        <f t="shared" si="31"/>
        <v>Analyst</v>
      </c>
      <c r="H382" s="1">
        <v>89898</v>
      </c>
      <c r="I382" s="1">
        <f t="shared" si="32"/>
        <v>89898</v>
      </c>
      <c r="J382" s="1">
        <v>4</v>
      </c>
      <c r="K382" s="14">
        <f t="shared" si="33"/>
        <v>4</v>
      </c>
      <c r="L382" s="1">
        <v>2</v>
      </c>
      <c r="M382" s="1">
        <f t="shared" si="34"/>
        <v>2</v>
      </c>
      <c r="N382" s="1">
        <v>5</v>
      </c>
      <c r="O382" s="1">
        <f t="shared" si="35"/>
        <v>5</v>
      </c>
      <c r="P382" s="1" t="s">
        <v>19</v>
      </c>
      <c r="Q382" s="1">
        <v>18</v>
      </c>
      <c r="R382" s="1" t="s">
        <v>20</v>
      </c>
      <c r="S382" s="1" t="s">
        <v>26</v>
      </c>
      <c r="T382" s="1">
        <v>77</v>
      </c>
      <c r="U382" s="3" t="s">
        <v>42</v>
      </c>
    </row>
    <row r="383" spans="1:21" x14ac:dyDescent="0.25">
      <c r="A383" s="2" t="s">
        <v>420</v>
      </c>
      <c r="B383" s="1">
        <v>54</v>
      </c>
      <c r="C383" s="14">
        <f t="shared" si="30"/>
        <v>54</v>
      </c>
      <c r="D383" s="1" t="s">
        <v>28</v>
      </c>
      <c r="E383" s="1" t="s">
        <v>29</v>
      </c>
      <c r="F383" s="1" t="s">
        <v>33</v>
      </c>
      <c r="G383" s="1" t="str">
        <f t="shared" si="31"/>
        <v>Engineer</v>
      </c>
      <c r="H383" s="1">
        <v>88735</v>
      </c>
      <c r="I383" s="1">
        <f t="shared" si="32"/>
        <v>88735</v>
      </c>
      <c r="J383" s="1">
        <v>2</v>
      </c>
      <c r="K383" s="14">
        <f t="shared" si="33"/>
        <v>2</v>
      </c>
      <c r="L383" s="1">
        <v>1</v>
      </c>
      <c r="M383" s="1">
        <f t="shared" si="34"/>
        <v>1</v>
      </c>
      <c r="N383" s="1">
        <v>4</v>
      </c>
      <c r="O383" s="1">
        <f t="shared" si="35"/>
        <v>4</v>
      </c>
      <c r="P383" s="1" t="s">
        <v>20</v>
      </c>
      <c r="Q383" s="1">
        <v>11</v>
      </c>
      <c r="R383" s="1" t="s">
        <v>20</v>
      </c>
      <c r="S383" s="1" t="s">
        <v>30</v>
      </c>
      <c r="T383" s="1">
        <v>24</v>
      </c>
      <c r="U383" s="3" t="s">
        <v>36</v>
      </c>
    </row>
    <row r="384" spans="1:21" x14ac:dyDescent="0.25">
      <c r="A384" s="2" t="s">
        <v>421</v>
      </c>
      <c r="B384" s="1">
        <v>21</v>
      </c>
      <c r="C384" s="14">
        <f t="shared" si="30"/>
        <v>21</v>
      </c>
      <c r="D384" s="1" t="s">
        <v>16</v>
      </c>
      <c r="E384" s="1" t="s">
        <v>24</v>
      </c>
      <c r="F384" s="1" t="s">
        <v>41</v>
      </c>
      <c r="G384" s="1" t="str">
        <f t="shared" si="31"/>
        <v>Executive</v>
      </c>
      <c r="H384" s="1">
        <v>63073</v>
      </c>
      <c r="I384" s="1">
        <f t="shared" si="32"/>
        <v>63073</v>
      </c>
      <c r="J384" s="1">
        <v>3</v>
      </c>
      <c r="K384" s="14">
        <f t="shared" si="33"/>
        <v>3</v>
      </c>
      <c r="L384" s="1">
        <v>4</v>
      </c>
      <c r="M384" s="1">
        <f t="shared" si="34"/>
        <v>4</v>
      </c>
      <c r="N384" s="1">
        <v>5</v>
      </c>
      <c r="O384" s="1">
        <f t="shared" si="35"/>
        <v>5</v>
      </c>
      <c r="P384" s="1" t="s">
        <v>19</v>
      </c>
      <c r="Q384" s="1">
        <v>15</v>
      </c>
      <c r="R384" s="1" t="s">
        <v>20</v>
      </c>
      <c r="S384" s="1" t="s">
        <v>30</v>
      </c>
      <c r="T384" s="1">
        <v>6</v>
      </c>
      <c r="U384" s="3" t="s">
        <v>42</v>
      </c>
    </row>
    <row r="385" spans="1:21" x14ac:dyDescent="0.25">
      <c r="A385" s="2" t="s">
        <v>422</v>
      </c>
      <c r="B385" s="1">
        <v>39</v>
      </c>
      <c r="C385" s="14">
        <f t="shared" si="30"/>
        <v>39</v>
      </c>
      <c r="D385" s="1" t="s">
        <v>16</v>
      </c>
      <c r="E385" s="1" t="s">
        <v>40</v>
      </c>
      <c r="F385" s="1" t="s">
        <v>25</v>
      </c>
      <c r="G385" s="1" t="str">
        <f t="shared" si="31"/>
        <v>Associate</v>
      </c>
      <c r="H385" s="1">
        <v>66974</v>
      </c>
      <c r="I385" s="1">
        <f t="shared" si="32"/>
        <v>66974</v>
      </c>
      <c r="J385" s="1">
        <v>2</v>
      </c>
      <c r="K385" s="14">
        <f t="shared" si="33"/>
        <v>2</v>
      </c>
      <c r="L385" s="1">
        <v>4</v>
      </c>
      <c r="M385" s="1">
        <f t="shared" si="34"/>
        <v>4</v>
      </c>
      <c r="N385" s="1">
        <v>5</v>
      </c>
      <c r="O385" s="1">
        <f t="shared" si="35"/>
        <v>5</v>
      </c>
      <c r="P385" s="1" t="s">
        <v>20</v>
      </c>
      <c r="Q385" s="1">
        <v>12</v>
      </c>
      <c r="R385" s="1" t="s">
        <v>19</v>
      </c>
      <c r="S385" s="1" t="s">
        <v>21</v>
      </c>
      <c r="T385" s="1">
        <v>54</v>
      </c>
      <c r="U385" s="3" t="s">
        <v>42</v>
      </c>
    </row>
    <row r="386" spans="1:21" x14ac:dyDescent="0.25">
      <c r="A386" s="2" t="s">
        <v>423</v>
      </c>
      <c r="B386" s="1">
        <v>35</v>
      </c>
      <c r="C386" s="14">
        <f t="shared" ref="C386:C449" si="36">IF(B386="",39,B386)</f>
        <v>35</v>
      </c>
      <c r="D386" s="1" t="s">
        <v>28</v>
      </c>
      <c r="E386" s="1" t="s">
        <v>40</v>
      </c>
      <c r="F386" s="1" t="s">
        <v>33</v>
      </c>
      <c r="G386" s="1" t="str">
        <f t="shared" ref="G386:G449" si="37">PROPER(F386)</f>
        <v>Engineer</v>
      </c>
      <c r="H386" s="1">
        <v>99962</v>
      </c>
      <c r="I386" s="1">
        <f t="shared" ref="I386:I449" si="38">IF(H386="",68925,H386)</f>
        <v>99962</v>
      </c>
      <c r="J386" s="1">
        <v>2</v>
      </c>
      <c r="K386" s="14">
        <f t="shared" ref="K386:K449" si="39">IF(J386="",3,J386)</f>
        <v>2</v>
      </c>
      <c r="L386" s="1">
        <v>5</v>
      </c>
      <c r="M386" s="1">
        <f t="shared" ref="M386:M449" si="40">IF(L386="",3,L386)</f>
        <v>5</v>
      </c>
      <c r="N386" s="1">
        <v>5</v>
      </c>
      <c r="O386" s="1">
        <f t="shared" ref="O386:O449" si="41">IF(N386="",3,N386)</f>
        <v>5</v>
      </c>
      <c r="P386" s="1" t="s">
        <v>20</v>
      </c>
      <c r="Q386" s="1">
        <v>9</v>
      </c>
      <c r="R386" s="1" t="s">
        <v>20</v>
      </c>
      <c r="S386" s="1" t="s">
        <v>30</v>
      </c>
      <c r="T386" s="1">
        <v>29</v>
      </c>
      <c r="U386" s="3" t="s">
        <v>22</v>
      </c>
    </row>
    <row r="387" spans="1:21" x14ac:dyDescent="0.25">
      <c r="A387" s="2" t="s">
        <v>424</v>
      </c>
      <c r="B387" s="1">
        <v>32</v>
      </c>
      <c r="C387" s="14">
        <f t="shared" si="36"/>
        <v>32</v>
      </c>
      <c r="D387" s="1" t="s">
        <v>16</v>
      </c>
      <c r="E387" s="1" t="s">
        <v>29</v>
      </c>
      <c r="F387" s="1" t="s">
        <v>35</v>
      </c>
      <c r="G387" s="1" t="str">
        <f t="shared" si="37"/>
        <v>Manager</v>
      </c>
      <c r="H387" s="1">
        <v>101478</v>
      </c>
      <c r="I387" s="1">
        <f t="shared" si="38"/>
        <v>101478</v>
      </c>
      <c r="J387" s="1">
        <v>4</v>
      </c>
      <c r="K387" s="14">
        <f t="shared" si="39"/>
        <v>4</v>
      </c>
      <c r="L387" s="1">
        <v>5</v>
      </c>
      <c r="M387" s="1">
        <f t="shared" si="40"/>
        <v>5</v>
      </c>
      <c r="N387" s="1">
        <v>4</v>
      </c>
      <c r="O387" s="1">
        <f t="shared" si="41"/>
        <v>4</v>
      </c>
      <c r="P387" s="1" t="s">
        <v>20</v>
      </c>
      <c r="Q387" s="1">
        <v>19</v>
      </c>
      <c r="R387" s="1" t="s">
        <v>20</v>
      </c>
      <c r="S387" s="1" t="s">
        <v>21</v>
      </c>
      <c r="T387" s="1">
        <v>46</v>
      </c>
      <c r="U387" s="3" t="s">
        <v>22</v>
      </c>
    </row>
    <row r="388" spans="1:21" x14ac:dyDescent="0.25">
      <c r="A388" s="2" t="s">
        <v>425</v>
      </c>
      <c r="B388" s="1">
        <v>30</v>
      </c>
      <c r="C388" s="14">
        <f t="shared" si="36"/>
        <v>30</v>
      </c>
      <c r="D388" s="1" t="s">
        <v>16</v>
      </c>
      <c r="E388" s="1" t="s">
        <v>24</v>
      </c>
      <c r="F388" s="1" t="s">
        <v>35</v>
      </c>
      <c r="G388" s="1" t="str">
        <f t="shared" si="37"/>
        <v>Manager</v>
      </c>
      <c r="H388" s="1">
        <v>42371</v>
      </c>
      <c r="I388" s="1">
        <f t="shared" si="38"/>
        <v>42371</v>
      </c>
      <c r="J388" s="1">
        <v>1</v>
      </c>
      <c r="K388" s="14">
        <f t="shared" si="39"/>
        <v>1</v>
      </c>
      <c r="L388" s="1">
        <v>3</v>
      </c>
      <c r="M388" s="1">
        <f t="shared" si="40"/>
        <v>3</v>
      </c>
      <c r="N388" s="1">
        <v>3</v>
      </c>
      <c r="O388" s="1">
        <f t="shared" si="41"/>
        <v>3</v>
      </c>
      <c r="P388" s="1" t="s">
        <v>19</v>
      </c>
      <c r="Q388" s="1">
        <v>14</v>
      </c>
      <c r="R388" s="1" t="s">
        <v>19</v>
      </c>
      <c r="S388" s="1" t="s">
        <v>21</v>
      </c>
      <c r="T388" s="1">
        <v>16</v>
      </c>
      <c r="U388" s="3" t="s">
        <v>44</v>
      </c>
    </row>
    <row r="389" spans="1:21" x14ac:dyDescent="0.25">
      <c r="A389" s="2" t="s">
        <v>426</v>
      </c>
      <c r="B389" s="1">
        <v>21</v>
      </c>
      <c r="C389" s="14">
        <f t="shared" si="36"/>
        <v>21</v>
      </c>
      <c r="D389" s="1" t="s">
        <v>28</v>
      </c>
      <c r="E389" s="1" t="s">
        <v>51</v>
      </c>
      <c r="F389" s="1" t="s">
        <v>18</v>
      </c>
      <c r="G389" s="1" t="str">
        <f t="shared" si="37"/>
        <v>Analyst</v>
      </c>
      <c r="H389" s="1">
        <v>73082</v>
      </c>
      <c r="I389" s="1">
        <f t="shared" si="38"/>
        <v>73082</v>
      </c>
      <c r="J389" s="1">
        <v>3</v>
      </c>
      <c r="K389" s="14">
        <f t="shared" si="39"/>
        <v>3</v>
      </c>
      <c r="L389" s="1">
        <v>4</v>
      </c>
      <c r="M389" s="1">
        <f t="shared" si="40"/>
        <v>4</v>
      </c>
      <c r="N389" s="1">
        <v>3</v>
      </c>
      <c r="O389" s="1">
        <f t="shared" si="41"/>
        <v>3</v>
      </c>
      <c r="P389" s="1" t="s">
        <v>20</v>
      </c>
      <c r="Q389" s="1">
        <v>1</v>
      </c>
      <c r="R389" s="1" t="s">
        <v>20</v>
      </c>
      <c r="S389" s="1" t="s">
        <v>21</v>
      </c>
      <c r="T389" s="1">
        <v>23</v>
      </c>
      <c r="U389" s="3" t="s">
        <v>22</v>
      </c>
    </row>
    <row r="390" spans="1:21" x14ac:dyDescent="0.25">
      <c r="A390" s="2" t="s">
        <v>427</v>
      </c>
      <c r="B390" s="1">
        <v>38</v>
      </c>
      <c r="C390" s="14">
        <f t="shared" si="36"/>
        <v>38</v>
      </c>
      <c r="D390" s="1" t="s">
        <v>28</v>
      </c>
      <c r="E390" s="1" t="s">
        <v>40</v>
      </c>
      <c r="F390" s="1" t="s">
        <v>25</v>
      </c>
      <c r="G390" s="1" t="str">
        <f t="shared" si="37"/>
        <v>Associate</v>
      </c>
      <c r="H390" s="1">
        <v>79623</v>
      </c>
      <c r="I390" s="1">
        <f t="shared" si="38"/>
        <v>79623</v>
      </c>
      <c r="J390" s="1">
        <v>2</v>
      </c>
      <c r="K390" s="14">
        <f t="shared" si="39"/>
        <v>2</v>
      </c>
      <c r="L390" s="1">
        <v>2</v>
      </c>
      <c r="M390" s="1">
        <f t="shared" si="40"/>
        <v>2</v>
      </c>
      <c r="N390" s="1">
        <v>3</v>
      </c>
      <c r="O390" s="1">
        <f t="shared" si="41"/>
        <v>3</v>
      </c>
      <c r="P390" s="1" t="s">
        <v>20</v>
      </c>
      <c r="Q390" s="1">
        <v>0</v>
      </c>
      <c r="R390" s="1" t="s">
        <v>19</v>
      </c>
      <c r="S390" s="1" t="s">
        <v>26</v>
      </c>
      <c r="T390" s="1">
        <v>36</v>
      </c>
      <c r="U390" s="3" t="s">
        <v>42</v>
      </c>
    </row>
    <row r="391" spans="1:21" x14ac:dyDescent="0.25">
      <c r="A391" s="2" t="s">
        <v>428</v>
      </c>
      <c r="B391" s="1">
        <v>49</v>
      </c>
      <c r="C391" s="14">
        <f t="shared" si="36"/>
        <v>49</v>
      </c>
      <c r="D391" s="1" t="s">
        <v>16</v>
      </c>
      <c r="E391" s="1" t="s">
        <v>17</v>
      </c>
      <c r="F391" s="1" t="s">
        <v>35</v>
      </c>
      <c r="G391" s="1" t="str">
        <f t="shared" si="37"/>
        <v>Manager</v>
      </c>
      <c r="H391" s="1">
        <v>44106</v>
      </c>
      <c r="I391" s="1">
        <f t="shared" si="38"/>
        <v>44106</v>
      </c>
      <c r="J391" s="1"/>
      <c r="K391" s="14">
        <f t="shared" si="39"/>
        <v>3</v>
      </c>
      <c r="L391" s="1">
        <v>1</v>
      </c>
      <c r="M391" s="1">
        <f t="shared" si="40"/>
        <v>1</v>
      </c>
      <c r="N391" s="1">
        <v>5</v>
      </c>
      <c r="O391" s="1">
        <f t="shared" si="41"/>
        <v>5</v>
      </c>
      <c r="P391" s="1" t="s">
        <v>19</v>
      </c>
      <c r="Q391" s="1">
        <v>15</v>
      </c>
      <c r="R391" s="1" t="s">
        <v>20</v>
      </c>
      <c r="S391" s="1" t="s">
        <v>26</v>
      </c>
      <c r="T391" s="1">
        <v>44</v>
      </c>
      <c r="U391" s="3" t="s">
        <v>36</v>
      </c>
    </row>
    <row r="392" spans="1:21" x14ac:dyDescent="0.25">
      <c r="A392" s="2" t="s">
        <v>429</v>
      </c>
      <c r="B392" s="1">
        <v>31</v>
      </c>
      <c r="C392" s="14">
        <f t="shared" si="36"/>
        <v>31</v>
      </c>
      <c r="D392" s="1" t="s">
        <v>16</v>
      </c>
      <c r="E392" s="1" t="s">
        <v>17</v>
      </c>
      <c r="F392" s="1" t="s">
        <v>25</v>
      </c>
      <c r="G392" s="1" t="str">
        <f t="shared" si="37"/>
        <v>Associate</v>
      </c>
      <c r="H392" s="1">
        <v>86278</v>
      </c>
      <c r="I392" s="1">
        <f t="shared" si="38"/>
        <v>86278</v>
      </c>
      <c r="J392" s="1">
        <v>1</v>
      </c>
      <c r="K392" s="14">
        <f t="shared" si="39"/>
        <v>1</v>
      </c>
      <c r="L392" s="1">
        <v>3</v>
      </c>
      <c r="M392" s="1">
        <f t="shared" si="40"/>
        <v>3</v>
      </c>
      <c r="N392" s="1">
        <v>4</v>
      </c>
      <c r="O392" s="1">
        <f t="shared" si="41"/>
        <v>4</v>
      </c>
      <c r="P392" s="1" t="s">
        <v>20</v>
      </c>
      <c r="Q392" s="1">
        <v>6</v>
      </c>
      <c r="R392" s="1" t="s">
        <v>20</v>
      </c>
      <c r="S392" s="1" t="s">
        <v>21</v>
      </c>
      <c r="T392" s="1">
        <v>32</v>
      </c>
      <c r="U392" s="3" t="s">
        <v>22</v>
      </c>
    </row>
    <row r="393" spans="1:21" x14ac:dyDescent="0.25">
      <c r="A393" s="2" t="s">
        <v>430</v>
      </c>
      <c r="B393" s="1">
        <v>36</v>
      </c>
      <c r="C393" s="14">
        <f t="shared" si="36"/>
        <v>36</v>
      </c>
      <c r="D393" s="1" t="s">
        <v>28</v>
      </c>
      <c r="E393" s="1" t="s">
        <v>29</v>
      </c>
      <c r="F393" s="1" t="s">
        <v>35</v>
      </c>
      <c r="G393" s="1" t="str">
        <f t="shared" si="37"/>
        <v>Manager</v>
      </c>
      <c r="H393" s="1">
        <v>39936</v>
      </c>
      <c r="I393" s="1">
        <f t="shared" si="38"/>
        <v>39936</v>
      </c>
      <c r="J393" s="1">
        <v>3</v>
      </c>
      <c r="K393" s="14">
        <f t="shared" si="39"/>
        <v>3</v>
      </c>
      <c r="L393" s="1">
        <v>5</v>
      </c>
      <c r="M393" s="1">
        <f t="shared" si="40"/>
        <v>5</v>
      </c>
      <c r="N393" s="1">
        <v>1</v>
      </c>
      <c r="O393" s="1">
        <f t="shared" si="41"/>
        <v>1</v>
      </c>
      <c r="P393" s="1" t="s">
        <v>20</v>
      </c>
      <c r="Q393" s="1">
        <v>7</v>
      </c>
      <c r="R393" s="1" t="s">
        <v>19</v>
      </c>
      <c r="S393" s="1" t="s">
        <v>21</v>
      </c>
      <c r="T393" s="1">
        <v>79</v>
      </c>
      <c r="U393" s="3" t="s">
        <v>42</v>
      </c>
    </row>
    <row r="394" spans="1:21" x14ac:dyDescent="0.25">
      <c r="A394" s="2" t="s">
        <v>431</v>
      </c>
      <c r="B394" s="1">
        <v>30</v>
      </c>
      <c r="C394" s="14">
        <f t="shared" si="36"/>
        <v>30</v>
      </c>
      <c r="D394" s="1" t="s">
        <v>28</v>
      </c>
      <c r="E394" s="1" t="s">
        <v>40</v>
      </c>
      <c r="F394" s="1" t="s">
        <v>41</v>
      </c>
      <c r="G394" s="1" t="str">
        <f t="shared" si="37"/>
        <v>Executive</v>
      </c>
      <c r="H394" s="1">
        <v>38669</v>
      </c>
      <c r="I394" s="1">
        <f t="shared" si="38"/>
        <v>38669</v>
      </c>
      <c r="J394" s="1">
        <v>4</v>
      </c>
      <c r="K394" s="14">
        <f t="shared" si="39"/>
        <v>4</v>
      </c>
      <c r="L394" s="1">
        <v>1</v>
      </c>
      <c r="M394" s="1">
        <f t="shared" si="40"/>
        <v>1</v>
      </c>
      <c r="N394" s="1">
        <v>5</v>
      </c>
      <c r="O394" s="1">
        <f t="shared" si="41"/>
        <v>5</v>
      </c>
      <c r="P394" s="1" t="s">
        <v>20</v>
      </c>
      <c r="Q394" s="1">
        <v>20</v>
      </c>
      <c r="R394" s="1" t="s">
        <v>19</v>
      </c>
      <c r="S394" s="1" t="s">
        <v>21</v>
      </c>
      <c r="T394" s="1">
        <v>50</v>
      </c>
      <c r="U394" s="3" t="s">
        <v>44</v>
      </c>
    </row>
    <row r="395" spans="1:21" x14ac:dyDescent="0.25">
      <c r="A395" s="2" t="s">
        <v>432</v>
      </c>
      <c r="B395" s="1">
        <v>55</v>
      </c>
      <c r="C395" s="14">
        <f t="shared" si="36"/>
        <v>55</v>
      </c>
      <c r="D395" s="1" t="s">
        <v>16</v>
      </c>
      <c r="E395" s="1" t="s">
        <v>51</v>
      </c>
      <c r="F395" s="1" t="s">
        <v>33</v>
      </c>
      <c r="G395" s="1" t="str">
        <f t="shared" si="37"/>
        <v>Engineer</v>
      </c>
      <c r="H395" s="1">
        <v>48497</v>
      </c>
      <c r="I395" s="1">
        <f t="shared" si="38"/>
        <v>48497</v>
      </c>
      <c r="J395" s="1">
        <v>3</v>
      </c>
      <c r="K395" s="14">
        <f t="shared" si="39"/>
        <v>3</v>
      </c>
      <c r="L395" s="1"/>
      <c r="M395" s="1">
        <f t="shared" si="40"/>
        <v>3</v>
      </c>
      <c r="N395" s="1">
        <v>3</v>
      </c>
      <c r="O395" s="1">
        <f t="shared" si="41"/>
        <v>3</v>
      </c>
      <c r="P395" s="1" t="s">
        <v>20</v>
      </c>
      <c r="Q395" s="1">
        <v>6</v>
      </c>
      <c r="R395" s="1" t="s">
        <v>19</v>
      </c>
      <c r="S395" s="1" t="s">
        <v>26</v>
      </c>
      <c r="T395" s="1">
        <v>53</v>
      </c>
      <c r="U395" s="3" t="s">
        <v>36</v>
      </c>
    </row>
    <row r="396" spans="1:21" x14ac:dyDescent="0.25">
      <c r="A396" s="2" t="s">
        <v>433</v>
      </c>
      <c r="B396" s="1">
        <v>29</v>
      </c>
      <c r="C396" s="14">
        <f t="shared" si="36"/>
        <v>29</v>
      </c>
      <c r="D396" s="1" t="s">
        <v>28</v>
      </c>
      <c r="E396" s="1" t="s">
        <v>40</v>
      </c>
      <c r="F396" s="1" t="s">
        <v>33</v>
      </c>
      <c r="G396" s="1" t="str">
        <f t="shared" si="37"/>
        <v>Engineer</v>
      </c>
      <c r="H396" s="1">
        <v>110618</v>
      </c>
      <c r="I396" s="1">
        <f t="shared" si="38"/>
        <v>110618</v>
      </c>
      <c r="J396" s="1">
        <v>4</v>
      </c>
      <c r="K396" s="14">
        <f t="shared" si="39"/>
        <v>4</v>
      </c>
      <c r="L396" s="1">
        <v>5</v>
      </c>
      <c r="M396" s="1">
        <f t="shared" si="40"/>
        <v>5</v>
      </c>
      <c r="N396" s="1">
        <v>3</v>
      </c>
      <c r="O396" s="1">
        <f t="shared" si="41"/>
        <v>3</v>
      </c>
      <c r="P396" s="1" t="s">
        <v>20</v>
      </c>
      <c r="Q396" s="1">
        <v>6</v>
      </c>
      <c r="R396" s="1" t="s">
        <v>19</v>
      </c>
      <c r="S396" s="1" t="s">
        <v>26</v>
      </c>
      <c r="T396" s="1">
        <v>49</v>
      </c>
      <c r="U396" s="3" t="s">
        <v>36</v>
      </c>
    </row>
    <row r="397" spans="1:21" x14ac:dyDescent="0.25">
      <c r="A397" s="2" t="s">
        <v>434</v>
      </c>
      <c r="B397" s="1">
        <v>50</v>
      </c>
      <c r="C397" s="14">
        <f t="shared" si="36"/>
        <v>50</v>
      </c>
      <c r="D397" s="1" t="s">
        <v>28</v>
      </c>
      <c r="E397" s="1" t="s">
        <v>24</v>
      </c>
      <c r="F397" s="1" t="s">
        <v>25</v>
      </c>
      <c r="G397" s="1" t="str">
        <f t="shared" si="37"/>
        <v>Associate</v>
      </c>
      <c r="H397" s="1">
        <v>39016</v>
      </c>
      <c r="I397" s="1">
        <f t="shared" si="38"/>
        <v>39016</v>
      </c>
      <c r="J397" s="1">
        <v>1</v>
      </c>
      <c r="K397" s="14">
        <f t="shared" si="39"/>
        <v>1</v>
      </c>
      <c r="L397" s="1">
        <v>5</v>
      </c>
      <c r="M397" s="1">
        <f t="shared" si="40"/>
        <v>5</v>
      </c>
      <c r="N397" s="1">
        <v>2</v>
      </c>
      <c r="O397" s="1">
        <f t="shared" si="41"/>
        <v>2</v>
      </c>
      <c r="P397" s="1" t="s">
        <v>20</v>
      </c>
      <c r="Q397" s="1">
        <v>9</v>
      </c>
      <c r="R397" s="1" t="s">
        <v>20</v>
      </c>
      <c r="S397" s="1" t="s">
        <v>26</v>
      </c>
      <c r="T397" s="1">
        <v>51</v>
      </c>
      <c r="U397" s="3" t="s">
        <v>42</v>
      </c>
    </row>
    <row r="398" spans="1:21" x14ac:dyDescent="0.25">
      <c r="A398" s="2" t="s">
        <v>435</v>
      </c>
      <c r="B398" s="1">
        <v>21</v>
      </c>
      <c r="C398" s="14">
        <f t="shared" si="36"/>
        <v>21</v>
      </c>
      <c r="D398" s="1" t="s">
        <v>28</v>
      </c>
      <c r="E398" s="1" t="s">
        <v>17</v>
      </c>
      <c r="F398" s="1" t="s">
        <v>41</v>
      </c>
      <c r="G398" s="1" t="str">
        <f t="shared" si="37"/>
        <v>Executive</v>
      </c>
      <c r="H398" s="1">
        <v>20453</v>
      </c>
      <c r="I398" s="1">
        <f t="shared" si="38"/>
        <v>20453</v>
      </c>
      <c r="J398" s="1">
        <v>5</v>
      </c>
      <c r="K398" s="14">
        <f t="shared" si="39"/>
        <v>5</v>
      </c>
      <c r="L398" s="1">
        <v>3</v>
      </c>
      <c r="M398" s="1">
        <f t="shared" si="40"/>
        <v>3</v>
      </c>
      <c r="N398" s="1">
        <v>5</v>
      </c>
      <c r="O398" s="1">
        <f t="shared" si="41"/>
        <v>5</v>
      </c>
      <c r="P398" s="1" t="s">
        <v>19</v>
      </c>
      <c r="Q398" s="1">
        <v>10</v>
      </c>
      <c r="R398" s="1" t="s">
        <v>19</v>
      </c>
      <c r="S398" s="1" t="s">
        <v>26</v>
      </c>
      <c r="T398" s="1">
        <v>73</v>
      </c>
      <c r="U398" s="3" t="s">
        <v>42</v>
      </c>
    </row>
    <row r="399" spans="1:21" x14ac:dyDescent="0.25">
      <c r="A399" s="2" t="s">
        <v>436</v>
      </c>
      <c r="B399" s="1">
        <v>33</v>
      </c>
      <c r="C399" s="14">
        <f t="shared" si="36"/>
        <v>33</v>
      </c>
      <c r="D399" s="1" t="s">
        <v>28</v>
      </c>
      <c r="E399" s="1" t="s">
        <v>24</v>
      </c>
      <c r="F399" s="1" t="s">
        <v>41</v>
      </c>
      <c r="G399" s="1" t="str">
        <f t="shared" si="37"/>
        <v>Executive</v>
      </c>
      <c r="H399" s="1">
        <v>98352</v>
      </c>
      <c r="I399" s="1">
        <f t="shared" si="38"/>
        <v>98352</v>
      </c>
      <c r="J399" s="1">
        <v>3</v>
      </c>
      <c r="K399" s="14">
        <f t="shared" si="39"/>
        <v>3</v>
      </c>
      <c r="L399" s="1">
        <v>3</v>
      </c>
      <c r="M399" s="1">
        <f t="shared" si="40"/>
        <v>3</v>
      </c>
      <c r="N399" s="1">
        <v>4</v>
      </c>
      <c r="O399" s="1">
        <f t="shared" si="41"/>
        <v>4</v>
      </c>
      <c r="P399" s="1" t="s">
        <v>20</v>
      </c>
      <c r="Q399" s="1">
        <v>3</v>
      </c>
      <c r="R399" s="1" t="s">
        <v>19</v>
      </c>
      <c r="S399" s="1" t="s">
        <v>26</v>
      </c>
      <c r="T399" s="1">
        <v>13</v>
      </c>
      <c r="U399" s="3" t="s">
        <v>22</v>
      </c>
    </row>
    <row r="400" spans="1:21" x14ac:dyDescent="0.25">
      <c r="A400" s="2" t="s">
        <v>437</v>
      </c>
      <c r="B400" s="1">
        <v>29</v>
      </c>
      <c r="C400" s="14">
        <f t="shared" si="36"/>
        <v>29</v>
      </c>
      <c r="D400" s="1" t="s">
        <v>16</v>
      </c>
      <c r="E400" s="1" t="s">
        <v>40</v>
      </c>
      <c r="F400" s="1" t="s">
        <v>41</v>
      </c>
      <c r="G400" s="1" t="str">
        <f t="shared" si="37"/>
        <v>Executive</v>
      </c>
      <c r="H400" s="1">
        <v>32031</v>
      </c>
      <c r="I400" s="1">
        <f t="shared" si="38"/>
        <v>32031</v>
      </c>
      <c r="J400" s="1">
        <v>4</v>
      </c>
      <c r="K400" s="14">
        <f t="shared" si="39"/>
        <v>4</v>
      </c>
      <c r="L400" s="1">
        <v>2</v>
      </c>
      <c r="M400" s="1">
        <f t="shared" si="40"/>
        <v>2</v>
      </c>
      <c r="N400" s="1">
        <v>1</v>
      </c>
      <c r="O400" s="1">
        <f t="shared" si="41"/>
        <v>1</v>
      </c>
      <c r="P400" s="1" t="s">
        <v>19</v>
      </c>
      <c r="Q400" s="1">
        <v>18</v>
      </c>
      <c r="R400" s="1" t="s">
        <v>20</v>
      </c>
      <c r="S400" s="1" t="s">
        <v>26</v>
      </c>
      <c r="T400" s="1">
        <v>67</v>
      </c>
      <c r="U400" s="3" t="s">
        <v>31</v>
      </c>
    </row>
    <row r="401" spans="1:21" x14ac:dyDescent="0.25">
      <c r="A401" s="2" t="s">
        <v>438</v>
      </c>
      <c r="B401" s="1">
        <v>58</v>
      </c>
      <c r="C401" s="14">
        <f t="shared" si="36"/>
        <v>58</v>
      </c>
      <c r="D401" s="1" t="s">
        <v>28</v>
      </c>
      <c r="E401" s="1" t="s">
        <v>40</v>
      </c>
      <c r="F401" s="1" t="s">
        <v>18</v>
      </c>
      <c r="G401" s="1" t="str">
        <f t="shared" si="37"/>
        <v>Analyst</v>
      </c>
      <c r="H401" s="1">
        <v>46930</v>
      </c>
      <c r="I401" s="1">
        <f t="shared" si="38"/>
        <v>46930</v>
      </c>
      <c r="J401" s="1">
        <v>5</v>
      </c>
      <c r="K401" s="14">
        <f t="shared" si="39"/>
        <v>5</v>
      </c>
      <c r="L401" s="1">
        <v>1</v>
      </c>
      <c r="M401" s="1">
        <f t="shared" si="40"/>
        <v>1</v>
      </c>
      <c r="N401" s="1">
        <v>1</v>
      </c>
      <c r="O401" s="1">
        <f t="shared" si="41"/>
        <v>1</v>
      </c>
      <c r="P401" s="1" t="s">
        <v>19</v>
      </c>
      <c r="Q401" s="1">
        <v>20</v>
      </c>
      <c r="R401" s="1" t="s">
        <v>20</v>
      </c>
      <c r="S401" s="1" t="s">
        <v>21</v>
      </c>
      <c r="T401" s="1">
        <v>64</v>
      </c>
      <c r="U401" s="3" t="s">
        <v>22</v>
      </c>
    </row>
    <row r="402" spans="1:21" x14ac:dyDescent="0.25">
      <c r="A402" s="2" t="s">
        <v>439</v>
      </c>
      <c r="B402" s="1">
        <v>44</v>
      </c>
      <c r="C402" s="14">
        <f t="shared" si="36"/>
        <v>44</v>
      </c>
      <c r="D402" s="1" t="s">
        <v>28</v>
      </c>
      <c r="E402" s="1" t="s">
        <v>29</v>
      </c>
      <c r="F402" s="1" t="s">
        <v>38</v>
      </c>
      <c r="G402" s="1" t="str">
        <f t="shared" si="37"/>
        <v>Lead</v>
      </c>
      <c r="H402" s="1">
        <v>25641</v>
      </c>
      <c r="I402" s="1">
        <f t="shared" si="38"/>
        <v>25641</v>
      </c>
      <c r="J402" s="1">
        <v>5</v>
      </c>
      <c r="K402" s="14">
        <f t="shared" si="39"/>
        <v>5</v>
      </c>
      <c r="L402" s="1">
        <v>3</v>
      </c>
      <c r="M402" s="1">
        <f t="shared" si="40"/>
        <v>3</v>
      </c>
      <c r="N402" s="1">
        <v>5</v>
      </c>
      <c r="O402" s="1">
        <f t="shared" si="41"/>
        <v>5</v>
      </c>
      <c r="P402" s="1" t="s">
        <v>19</v>
      </c>
      <c r="Q402" s="1">
        <v>2</v>
      </c>
      <c r="R402" s="1" t="s">
        <v>20</v>
      </c>
      <c r="S402" s="1" t="s">
        <v>21</v>
      </c>
      <c r="T402" s="1">
        <v>32</v>
      </c>
      <c r="U402" s="3" t="s">
        <v>31</v>
      </c>
    </row>
    <row r="403" spans="1:21" x14ac:dyDescent="0.25">
      <c r="A403" s="2" t="s">
        <v>440</v>
      </c>
      <c r="B403" s="1">
        <v>27</v>
      </c>
      <c r="C403" s="14">
        <f t="shared" si="36"/>
        <v>27</v>
      </c>
      <c r="D403" s="1" t="s">
        <v>16</v>
      </c>
      <c r="E403" s="1" t="s">
        <v>17</v>
      </c>
      <c r="F403" s="1" t="s">
        <v>41</v>
      </c>
      <c r="G403" s="1" t="str">
        <f t="shared" si="37"/>
        <v>Executive</v>
      </c>
      <c r="H403" s="1">
        <v>87685</v>
      </c>
      <c r="I403" s="1">
        <f t="shared" si="38"/>
        <v>87685</v>
      </c>
      <c r="J403" s="1">
        <v>4</v>
      </c>
      <c r="K403" s="14">
        <f t="shared" si="39"/>
        <v>4</v>
      </c>
      <c r="L403" s="1">
        <v>2</v>
      </c>
      <c r="M403" s="1">
        <f t="shared" si="40"/>
        <v>2</v>
      </c>
      <c r="N403" s="1">
        <v>2</v>
      </c>
      <c r="O403" s="1">
        <f t="shared" si="41"/>
        <v>2</v>
      </c>
      <c r="P403" s="1" t="s">
        <v>19</v>
      </c>
      <c r="Q403" s="1">
        <v>18</v>
      </c>
      <c r="R403" s="1" t="s">
        <v>19</v>
      </c>
      <c r="S403" s="1" t="s">
        <v>26</v>
      </c>
      <c r="T403" s="1">
        <v>76</v>
      </c>
      <c r="U403" s="3" t="s">
        <v>42</v>
      </c>
    </row>
    <row r="404" spans="1:21" x14ac:dyDescent="0.25">
      <c r="A404" s="2" t="s">
        <v>441</v>
      </c>
      <c r="B404" s="1">
        <v>27</v>
      </c>
      <c r="C404" s="14">
        <f t="shared" si="36"/>
        <v>27</v>
      </c>
      <c r="D404" s="1" t="s">
        <v>28</v>
      </c>
      <c r="E404" s="1" t="s">
        <v>17</v>
      </c>
      <c r="F404" s="1" t="s">
        <v>33</v>
      </c>
      <c r="G404" s="1" t="str">
        <f t="shared" si="37"/>
        <v>Engineer</v>
      </c>
      <c r="H404" s="1">
        <v>110084</v>
      </c>
      <c r="I404" s="1">
        <f t="shared" si="38"/>
        <v>110084</v>
      </c>
      <c r="J404" s="1">
        <v>4</v>
      </c>
      <c r="K404" s="14">
        <f t="shared" si="39"/>
        <v>4</v>
      </c>
      <c r="L404" s="1">
        <v>1</v>
      </c>
      <c r="M404" s="1">
        <f t="shared" si="40"/>
        <v>1</v>
      </c>
      <c r="N404" s="1">
        <v>2</v>
      </c>
      <c r="O404" s="1">
        <f t="shared" si="41"/>
        <v>2</v>
      </c>
      <c r="P404" s="1" t="s">
        <v>19</v>
      </c>
      <c r="Q404" s="1">
        <v>17</v>
      </c>
      <c r="R404" s="1" t="s">
        <v>20</v>
      </c>
      <c r="S404" s="1" t="s">
        <v>26</v>
      </c>
      <c r="T404" s="1">
        <v>48</v>
      </c>
      <c r="U404" s="3" t="s">
        <v>44</v>
      </c>
    </row>
    <row r="405" spans="1:21" x14ac:dyDescent="0.25">
      <c r="A405" s="2" t="s">
        <v>442</v>
      </c>
      <c r="B405" s="1">
        <v>55</v>
      </c>
      <c r="C405" s="14">
        <f t="shared" si="36"/>
        <v>55</v>
      </c>
      <c r="D405" s="1" t="s">
        <v>28</v>
      </c>
      <c r="E405" s="1" t="s">
        <v>29</v>
      </c>
      <c r="F405" s="1" t="s">
        <v>18</v>
      </c>
      <c r="G405" s="1" t="str">
        <f t="shared" si="37"/>
        <v>Analyst</v>
      </c>
      <c r="H405" s="1">
        <v>90100</v>
      </c>
      <c r="I405" s="1">
        <f t="shared" si="38"/>
        <v>90100</v>
      </c>
      <c r="J405" s="1">
        <v>3</v>
      </c>
      <c r="K405" s="14">
        <f t="shared" si="39"/>
        <v>3</v>
      </c>
      <c r="L405" s="1">
        <v>3</v>
      </c>
      <c r="M405" s="1">
        <f t="shared" si="40"/>
        <v>3</v>
      </c>
      <c r="N405" s="1">
        <v>4</v>
      </c>
      <c r="O405" s="1">
        <f t="shared" si="41"/>
        <v>4</v>
      </c>
      <c r="P405" s="1" t="s">
        <v>20</v>
      </c>
      <c r="Q405" s="1">
        <v>10</v>
      </c>
      <c r="R405" s="1" t="s">
        <v>19</v>
      </c>
      <c r="S405" s="1" t="s">
        <v>26</v>
      </c>
      <c r="T405" s="1">
        <v>74</v>
      </c>
      <c r="U405" s="3" t="s">
        <v>44</v>
      </c>
    </row>
    <row r="406" spans="1:21" x14ac:dyDescent="0.25">
      <c r="A406" s="2" t="s">
        <v>443</v>
      </c>
      <c r="B406" s="1"/>
      <c r="C406" s="14">
        <f t="shared" si="36"/>
        <v>39</v>
      </c>
      <c r="D406" s="1" t="s">
        <v>28</v>
      </c>
      <c r="E406" s="1" t="s">
        <v>29</v>
      </c>
      <c r="F406" s="1" t="s">
        <v>33</v>
      </c>
      <c r="G406" s="1" t="str">
        <f t="shared" si="37"/>
        <v>Engineer</v>
      </c>
      <c r="H406" s="1">
        <v>76654</v>
      </c>
      <c r="I406" s="1">
        <f t="shared" si="38"/>
        <v>76654</v>
      </c>
      <c r="J406" s="1">
        <v>4</v>
      </c>
      <c r="K406" s="14">
        <f t="shared" si="39"/>
        <v>4</v>
      </c>
      <c r="L406" s="1">
        <v>1</v>
      </c>
      <c r="M406" s="1">
        <f t="shared" si="40"/>
        <v>1</v>
      </c>
      <c r="N406" s="1">
        <v>1</v>
      </c>
      <c r="O406" s="1">
        <f t="shared" si="41"/>
        <v>1</v>
      </c>
      <c r="P406" s="1" t="s">
        <v>20</v>
      </c>
      <c r="Q406" s="1">
        <v>19</v>
      </c>
      <c r="R406" s="1" t="s">
        <v>19</v>
      </c>
      <c r="S406" s="1" t="s">
        <v>26</v>
      </c>
      <c r="T406" s="1">
        <v>22</v>
      </c>
      <c r="U406" s="3" t="s">
        <v>36</v>
      </c>
    </row>
    <row r="407" spans="1:21" x14ac:dyDescent="0.25">
      <c r="A407" s="2" t="s">
        <v>444</v>
      </c>
      <c r="B407" s="1">
        <v>21</v>
      </c>
      <c r="C407" s="14">
        <f t="shared" si="36"/>
        <v>21</v>
      </c>
      <c r="D407" s="1" t="s">
        <v>28</v>
      </c>
      <c r="E407" s="1" t="s">
        <v>51</v>
      </c>
      <c r="F407" s="1" t="s">
        <v>41</v>
      </c>
      <c r="G407" s="1" t="str">
        <f t="shared" si="37"/>
        <v>Executive</v>
      </c>
      <c r="H407" s="1">
        <v>59275</v>
      </c>
      <c r="I407" s="1">
        <f t="shared" si="38"/>
        <v>59275</v>
      </c>
      <c r="J407" s="1">
        <v>1</v>
      </c>
      <c r="K407" s="14">
        <f t="shared" si="39"/>
        <v>1</v>
      </c>
      <c r="L407" s="1">
        <v>3</v>
      </c>
      <c r="M407" s="1">
        <f t="shared" si="40"/>
        <v>3</v>
      </c>
      <c r="N407" s="1">
        <v>5</v>
      </c>
      <c r="O407" s="1">
        <f t="shared" si="41"/>
        <v>5</v>
      </c>
      <c r="P407" s="1" t="s">
        <v>19</v>
      </c>
      <c r="Q407" s="1">
        <v>3</v>
      </c>
      <c r="R407" s="1" t="s">
        <v>19</v>
      </c>
      <c r="S407" s="1" t="s">
        <v>30</v>
      </c>
      <c r="T407" s="1">
        <v>50</v>
      </c>
      <c r="U407" s="3" t="s">
        <v>44</v>
      </c>
    </row>
    <row r="408" spans="1:21" x14ac:dyDescent="0.25">
      <c r="A408" s="2" t="s">
        <v>445</v>
      </c>
      <c r="B408" s="1"/>
      <c r="C408" s="14">
        <f t="shared" si="36"/>
        <v>39</v>
      </c>
      <c r="D408" s="1" t="s">
        <v>28</v>
      </c>
      <c r="E408" s="1" t="s">
        <v>29</v>
      </c>
      <c r="F408" s="1" t="s">
        <v>25</v>
      </c>
      <c r="G408" s="1" t="str">
        <f t="shared" si="37"/>
        <v>Associate</v>
      </c>
      <c r="H408" s="1">
        <v>50749</v>
      </c>
      <c r="I408" s="1">
        <f t="shared" si="38"/>
        <v>50749</v>
      </c>
      <c r="J408" s="1">
        <v>2</v>
      </c>
      <c r="K408" s="14">
        <f t="shared" si="39"/>
        <v>2</v>
      </c>
      <c r="L408" s="1">
        <v>3</v>
      </c>
      <c r="M408" s="1">
        <f t="shared" si="40"/>
        <v>3</v>
      </c>
      <c r="N408" s="1">
        <v>3</v>
      </c>
      <c r="O408" s="1">
        <f t="shared" si="41"/>
        <v>3</v>
      </c>
      <c r="P408" s="1" t="s">
        <v>19</v>
      </c>
      <c r="Q408" s="1">
        <v>18</v>
      </c>
      <c r="R408" s="1" t="s">
        <v>20</v>
      </c>
      <c r="S408" s="1" t="s">
        <v>26</v>
      </c>
      <c r="T408" s="1">
        <v>32</v>
      </c>
      <c r="U408" s="3" t="s">
        <v>22</v>
      </c>
    </row>
    <row r="409" spans="1:21" x14ac:dyDescent="0.25">
      <c r="A409" s="2" t="s">
        <v>446</v>
      </c>
      <c r="B409" s="1">
        <v>41</v>
      </c>
      <c r="C409" s="14">
        <f t="shared" si="36"/>
        <v>41</v>
      </c>
      <c r="D409" s="1" t="s">
        <v>28</v>
      </c>
      <c r="E409" s="1" t="s">
        <v>51</v>
      </c>
      <c r="F409" s="1" t="s">
        <v>33</v>
      </c>
      <c r="G409" s="1" t="str">
        <f t="shared" si="37"/>
        <v>Engineer</v>
      </c>
      <c r="H409" s="1">
        <v>108386</v>
      </c>
      <c r="I409" s="1">
        <f t="shared" si="38"/>
        <v>108386</v>
      </c>
      <c r="J409" s="1">
        <v>5</v>
      </c>
      <c r="K409" s="14">
        <f t="shared" si="39"/>
        <v>5</v>
      </c>
      <c r="L409" s="1">
        <v>1</v>
      </c>
      <c r="M409" s="1">
        <f t="shared" si="40"/>
        <v>1</v>
      </c>
      <c r="N409" s="1">
        <v>5</v>
      </c>
      <c r="O409" s="1">
        <f t="shared" si="41"/>
        <v>5</v>
      </c>
      <c r="P409" s="1" t="s">
        <v>20</v>
      </c>
      <c r="Q409" s="1">
        <v>1</v>
      </c>
      <c r="R409" s="1" t="s">
        <v>20</v>
      </c>
      <c r="S409" s="1" t="s">
        <v>21</v>
      </c>
      <c r="T409" s="1">
        <v>12</v>
      </c>
      <c r="U409" s="3" t="s">
        <v>36</v>
      </c>
    </row>
    <row r="410" spans="1:21" x14ac:dyDescent="0.25">
      <c r="A410" s="2" t="s">
        <v>447</v>
      </c>
      <c r="B410" s="1">
        <v>43</v>
      </c>
      <c r="C410" s="14">
        <f t="shared" si="36"/>
        <v>43</v>
      </c>
      <c r="D410" s="1" t="s">
        <v>28</v>
      </c>
      <c r="E410" s="1" t="s">
        <v>49</v>
      </c>
      <c r="F410" s="1" t="s">
        <v>35</v>
      </c>
      <c r="G410" s="1" t="str">
        <f t="shared" si="37"/>
        <v>Manager</v>
      </c>
      <c r="H410" s="1">
        <v>118976</v>
      </c>
      <c r="I410" s="1">
        <f t="shared" si="38"/>
        <v>118976</v>
      </c>
      <c r="J410" s="1">
        <v>2</v>
      </c>
      <c r="K410" s="14">
        <f t="shared" si="39"/>
        <v>2</v>
      </c>
      <c r="L410" s="1"/>
      <c r="M410" s="1">
        <f t="shared" si="40"/>
        <v>3</v>
      </c>
      <c r="N410" s="1">
        <v>1</v>
      </c>
      <c r="O410" s="1">
        <f t="shared" si="41"/>
        <v>1</v>
      </c>
      <c r="P410" s="1" t="s">
        <v>20</v>
      </c>
      <c r="Q410" s="1">
        <v>1</v>
      </c>
      <c r="R410" s="1" t="s">
        <v>20</v>
      </c>
      <c r="S410" s="1" t="s">
        <v>26</v>
      </c>
      <c r="T410" s="1">
        <v>10</v>
      </c>
      <c r="U410" s="3" t="s">
        <v>36</v>
      </c>
    </row>
    <row r="411" spans="1:21" x14ac:dyDescent="0.25">
      <c r="A411" s="2" t="s">
        <v>448</v>
      </c>
      <c r="B411" s="1">
        <v>55</v>
      </c>
      <c r="C411" s="14">
        <f t="shared" si="36"/>
        <v>55</v>
      </c>
      <c r="D411" s="1" t="s">
        <v>16</v>
      </c>
      <c r="E411" s="1" t="s">
        <v>29</v>
      </c>
      <c r="F411" s="1" t="s">
        <v>25</v>
      </c>
      <c r="G411" s="1" t="str">
        <f t="shared" si="37"/>
        <v>Associate</v>
      </c>
      <c r="H411" s="1">
        <v>109457</v>
      </c>
      <c r="I411" s="1">
        <f t="shared" si="38"/>
        <v>109457</v>
      </c>
      <c r="J411" s="1">
        <v>2</v>
      </c>
      <c r="K411" s="14">
        <f t="shared" si="39"/>
        <v>2</v>
      </c>
      <c r="L411" s="1">
        <v>2</v>
      </c>
      <c r="M411" s="1">
        <f t="shared" si="40"/>
        <v>2</v>
      </c>
      <c r="N411" s="1">
        <v>1</v>
      </c>
      <c r="O411" s="1">
        <f t="shared" si="41"/>
        <v>1</v>
      </c>
      <c r="P411" s="1" t="s">
        <v>20</v>
      </c>
      <c r="Q411" s="1">
        <v>14</v>
      </c>
      <c r="R411" s="1" t="s">
        <v>19</v>
      </c>
      <c r="S411" s="1" t="s">
        <v>21</v>
      </c>
      <c r="T411" s="1">
        <v>60</v>
      </c>
      <c r="U411" s="3" t="s">
        <v>36</v>
      </c>
    </row>
    <row r="412" spans="1:21" x14ac:dyDescent="0.25">
      <c r="A412" s="2" t="s">
        <v>449</v>
      </c>
      <c r="B412" s="1">
        <v>46</v>
      </c>
      <c r="C412" s="14">
        <f t="shared" si="36"/>
        <v>46</v>
      </c>
      <c r="D412" s="1" t="s">
        <v>16</v>
      </c>
      <c r="E412" s="1" t="s">
        <v>51</v>
      </c>
      <c r="F412" s="1" t="s">
        <v>18</v>
      </c>
      <c r="G412" s="1" t="str">
        <f t="shared" si="37"/>
        <v>Analyst</v>
      </c>
      <c r="H412" s="1">
        <v>28819</v>
      </c>
      <c r="I412" s="1">
        <f t="shared" si="38"/>
        <v>28819</v>
      </c>
      <c r="J412" s="1">
        <v>4</v>
      </c>
      <c r="K412" s="14">
        <f t="shared" si="39"/>
        <v>4</v>
      </c>
      <c r="L412" s="1">
        <v>5</v>
      </c>
      <c r="M412" s="1">
        <f t="shared" si="40"/>
        <v>5</v>
      </c>
      <c r="N412" s="1">
        <v>1</v>
      </c>
      <c r="O412" s="1">
        <f t="shared" si="41"/>
        <v>1</v>
      </c>
      <c r="P412" s="1" t="s">
        <v>20</v>
      </c>
      <c r="Q412" s="1">
        <v>8</v>
      </c>
      <c r="R412" s="1" t="s">
        <v>19</v>
      </c>
      <c r="S412" s="1" t="s">
        <v>30</v>
      </c>
      <c r="T412" s="1">
        <v>69</v>
      </c>
      <c r="U412" s="3" t="s">
        <v>42</v>
      </c>
    </row>
    <row r="413" spans="1:21" x14ac:dyDescent="0.25">
      <c r="A413" s="2" t="s">
        <v>450</v>
      </c>
      <c r="B413" s="1">
        <v>29</v>
      </c>
      <c r="C413" s="14">
        <f t="shared" si="36"/>
        <v>29</v>
      </c>
      <c r="D413" s="1" t="s">
        <v>16</v>
      </c>
      <c r="E413" s="1" t="s">
        <v>49</v>
      </c>
      <c r="F413" s="1" t="s">
        <v>25</v>
      </c>
      <c r="G413" s="1" t="str">
        <f t="shared" si="37"/>
        <v>Associate</v>
      </c>
      <c r="H413" s="1">
        <v>43966</v>
      </c>
      <c r="I413" s="1">
        <f t="shared" si="38"/>
        <v>43966</v>
      </c>
      <c r="J413" s="1">
        <v>4</v>
      </c>
      <c r="K413" s="14">
        <f t="shared" si="39"/>
        <v>4</v>
      </c>
      <c r="L413" s="1">
        <v>4</v>
      </c>
      <c r="M413" s="1">
        <f t="shared" si="40"/>
        <v>4</v>
      </c>
      <c r="N413" s="1">
        <v>5</v>
      </c>
      <c r="O413" s="1">
        <f t="shared" si="41"/>
        <v>5</v>
      </c>
      <c r="P413" s="1" t="s">
        <v>19</v>
      </c>
      <c r="Q413" s="1">
        <v>17</v>
      </c>
      <c r="R413" s="1" t="s">
        <v>19</v>
      </c>
      <c r="S413" s="1" t="s">
        <v>21</v>
      </c>
      <c r="T413" s="1">
        <v>14</v>
      </c>
      <c r="U413" s="3" t="s">
        <v>36</v>
      </c>
    </row>
    <row r="414" spans="1:21" x14ac:dyDescent="0.25">
      <c r="A414" s="2" t="s">
        <v>451</v>
      </c>
      <c r="B414" s="1">
        <v>48</v>
      </c>
      <c r="C414" s="14">
        <f t="shared" si="36"/>
        <v>48</v>
      </c>
      <c r="D414" s="1" t="s">
        <v>28</v>
      </c>
      <c r="E414" s="1" t="s">
        <v>17</v>
      </c>
      <c r="F414" s="1" t="s">
        <v>25</v>
      </c>
      <c r="G414" s="1" t="str">
        <f t="shared" si="37"/>
        <v>Associate</v>
      </c>
      <c r="H414" s="1">
        <v>29743</v>
      </c>
      <c r="I414" s="1">
        <f t="shared" si="38"/>
        <v>29743</v>
      </c>
      <c r="J414" s="1">
        <v>1</v>
      </c>
      <c r="K414" s="14">
        <f t="shared" si="39"/>
        <v>1</v>
      </c>
      <c r="L414" s="1">
        <v>4</v>
      </c>
      <c r="M414" s="1">
        <f t="shared" si="40"/>
        <v>4</v>
      </c>
      <c r="N414" s="1">
        <v>4</v>
      </c>
      <c r="O414" s="1">
        <f t="shared" si="41"/>
        <v>4</v>
      </c>
      <c r="P414" s="1" t="s">
        <v>20</v>
      </c>
      <c r="Q414" s="1">
        <v>11</v>
      </c>
      <c r="R414" s="1" t="s">
        <v>19</v>
      </c>
      <c r="S414" s="1" t="s">
        <v>30</v>
      </c>
      <c r="T414" s="1">
        <v>49</v>
      </c>
      <c r="U414" s="3" t="s">
        <v>31</v>
      </c>
    </row>
    <row r="415" spans="1:21" x14ac:dyDescent="0.25">
      <c r="A415" s="2" t="s">
        <v>452</v>
      </c>
      <c r="B415" s="1">
        <v>22</v>
      </c>
      <c r="C415" s="14">
        <f t="shared" si="36"/>
        <v>22</v>
      </c>
      <c r="D415" s="1" t="s">
        <v>28</v>
      </c>
      <c r="E415" s="1" t="s">
        <v>51</v>
      </c>
      <c r="F415" s="1" t="s">
        <v>18</v>
      </c>
      <c r="G415" s="1" t="str">
        <f t="shared" si="37"/>
        <v>Analyst</v>
      </c>
      <c r="H415" s="1">
        <v>98769</v>
      </c>
      <c r="I415" s="1">
        <f t="shared" si="38"/>
        <v>98769</v>
      </c>
      <c r="J415" s="1">
        <v>4</v>
      </c>
      <c r="K415" s="14">
        <f t="shared" si="39"/>
        <v>4</v>
      </c>
      <c r="L415" s="1">
        <v>5</v>
      </c>
      <c r="M415" s="1">
        <f t="shared" si="40"/>
        <v>5</v>
      </c>
      <c r="N415" s="1">
        <v>2</v>
      </c>
      <c r="O415" s="1">
        <f t="shared" si="41"/>
        <v>2</v>
      </c>
      <c r="P415" s="1" t="s">
        <v>20</v>
      </c>
      <c r="Q415" s="1">
        <v>1</v>
      </c>
      <c r="R415" s="1" t="s">
        <v>19</v>
      </c>
      <c r="S415" s="1" t="s">
        <v>21</v>
      </c>
      <c r="T415" s="1">
        <v>52</v>
      </c>
      <c r="U415" s="3" t="s">
        <v>44</v>
      </c>
    </row>
    <row r="416" spans="1:21" x14ac:dyDescent="0.25">
      <c r="A416" s="2" t="s">
        <v>453</v>
      </c>
      <c r="B416" s="1">
        <v>26</v>
      </c>
      <c r="C416" s="14">
        <f t="shared" si="36"/>
        <v>26</v>
      </c>
      <c r="D416" s="1" t="s">
        <v>16</v>
      </c>
      <c r="E416" s="1" t="s">
        <v>17</v>
      </c>
      <c r="F416" s="1" t="s">
        <v>35</v>
      </c>
      <c r="G416" s="1" t="str">
        <f t="shared" si="37"/>
        <v>Manager</v>
      </c>
      <c r="H416" s="1">
        <v>49856</v>
      </c>
      <c r="I416" s="1">
        <f t="shared" si="38"/>
        <v>49856</v>
      </c>
      <c r="J416" s="1">
        <v>5</v>
      </c>
      <c r="K416" s="14">
        <f t="shared" si="39"/>
        <v>5</v>
      </c>
      <c r="L416" s="1"/>
      <c r="M416" s="1">
        <f t="shared" si="40"/>
        <v>3</v>
      </c>
      <c r="N416" s="1">
        <v>3</v>
      </c>
      <c r="O416" s="1">
        <f t="shared" si="41"/>
        <v>3</v>
      </c>
      <c r="P416" s="1" t="s">
        <v>19</v>
      </c>
      <c r="Q416" s="1">
        <v>10</v>
      </c>
      <c r="R416" s="1" t="s">
        <v>19</v>
      </c>
      <c r="S416" s="1" t="s">
        <v>30</v>
      </c>
      <c r="T416" s="1">
        <v>62</v>
      </c>
      <c r="U416" s="3" t="s">
        <v>42</v>
      </c>
    </row>
    <row r="417" spans="1:21" x14ac:dyDescent="0.25">
      <c r="A417" s="2" t="s">
        <v>454</v>
      </c>
      <c r="B417" s="1">
        <v>22</v>
      </c>
      <c r="C417" s="14">
        <f t="shared" si="36"/>
        <v>22</v>
      </c>
      <c r="D417" s="1" t="s">
        <v>28</v>
      </c>
      <c r="E417" s="1" t="s">
        <v>51</v>
      </c>
      <c r="F417" s="1" t="s">
        <v>38</v>
      </c>
      <c r="G417" s="1" t="str">
        <f t="shared" si="37"/>
        <v>Lead</v>
      </c>
      <c r="H417" s="1">
        <v>88517</v>
      </c>
      <c r="I417" s="1">
        <f t="shared" si="38"/>
        <v>88517</v>
      </c>
      <c r="J417" s="1">
        <v>2</v>
      </c>
      <c r="K417" s="14">
        <f t="shared" si="39"/>
        <v>2</v>
      </c>
      <c r="L417" s="1">
        <v>2</v>
      </c>
      <c r="M417" s="1">
        <f t="shared" si="40"/>
        <v>2</v>
      </c>
      <c r="N417" s="1">
        <v>5</v>
      </c>
      <c r="O417" s="1">
        <f t="shared" si="41"/>
        <v>5</v>
      </c>
      <c r="P417" s="1" t="s">
        <v>20</v>
      </c>
      <c r="Q417" s="1">
        <v>17</v>
      </c>
      <c r="R417" s="1" t="s">
        <v>20</v>
      </c>
      <c r="S417" s="1" t="s">
        <v>26</v>
      </c>
      <c r="T417" s="1">
        <v>23</v>
      </c>
      <c r="U417" s="3" t="s">
        <v>22</v>
      </c>
    </row>
    <row r="418" spans="1:21" x14ac:dyDescent="0.25">
      <c r="A418" s="2" t="s">
        <v>455</v>
      </c>
      <c r="B418" s="1">
        <v>45</v>
      </c>
      <c r="C418" s="14">
        <f t="shared" si="36"/>
        <v>45</v>
      </c>
      <c r="D418" s="1" t="s">
        <v>16</v>
      </c>
      <c r="E418" s="1" t="s">
        <v>29</v>
      </c>
      <c r="F418" s="1" t="s">
        <v>41</v>
      </c>
      <c r="G418" s="1" t="str">
        <f t="shared" si="37"/>
        <v>Executive</v>
      </c>
      <c r="H418" s="1">
        <v>25878</v>
      </c>
      <c r="I418" s="1">
        <f t="shared" si="38"/>
        <v>25878</v>
      </c>
      <c r="J418" s="1">
        <v>3</v>
      </c>
      <c r="K418" s="14">
        <f t="shared" si="39"/>
        <v>3</v>
      </c>
      <c r="L418" s="1">
        <v>2</v>
      </c>
      <c r="M418" s="1">
        <f t="shared" si="40"/>
        <v>2</v>
      </c>
      <c r="N418" s="1">
        <v>5</v>
      </c>
      <c r="O418" s="1">
        <f t="shared" si="41"/>
        <v>5</v>
      </c>
      <c r="P418" s="1" t="s">
        <v>20</v>
      </c>
      <c r="Q418" s="1">
        <v>1</v>
      </c>
      <c r="R418" s="1" t="s">
        <v>20</v>
      </c>
      <c r="S418" s="1" t="s">
        <v>26</v>
      </c>
      <c r="T418" s="1">
        <v>6</v>
      </c>
      <c r="U418" s="3" t="s">
        <v>22</v>
      </c>
    </row>
    <row r="419" spans="1:21" x14ac:dyDescent="0.25">
      <c r="A419" s="2" t="s">
        <v>456</v>
      </c>
      <c r="B419" s="1">
        <v>45</v>
      </c>
      <c r="C419" s="14">
        <f t="shared" si="36"/>
        <v>45</v>
      </c>
      <c r="D419" s="1" t="s">
        <v>28</v>
      </c>
      <c r="E419" s="1" t="s">
        <v>17</v>
      </c>
      <c r="F419" s="1" t="s">
        <v>38</v>
      </c>
      <c r="G419" s="1" t="str">
        <f t="shared" si="37"/>
        <v>Lead</v>
      </c>
      <c r="H419" s="1">
        <v>65214</v>
      </c>
      <c r="I419" s="1">
        <f t="shared" si="38"/>
        <v>65214</v>
      </c>
      <c r="J419" s="1">
        <v>1</v>
      </c>
      <c r="K419" s="14">
        <f t="shared" si="39"/>
        <v>1</v>
      </c>
      <c r="L419" s="1">
        <v>1</v>
      </c>
      <c r="M419" s="1">
        <f t="shared" si="40"/>
        <v>1</v>
      </c>
      <c r="N419" s="1">
        <v>3</v>
      </c>
      <c r="O419" s="1">
        <f t="shared" si="41"/>
        <v>3</v>
      </c>
      <c r="P419" s="1" t="s">
        <v>20</v>
      </c>
      <c r="Q419" s="1">
        <v>7</v>
      </c>
      <c r="R419" s="1" t="s">
        <v>20</v>
      </c>
      <c r="S419" s="1" t="s">
        <v>26</v>
      </c>
      <c r="T419" s="1">
        <v>17</v>
      </c>
      <c r="U419" s="3" t="s">
        <v>36</v>
      </c>
    </row>
    <row r="420" spans="1:21" x14ac:dyDescent="0.25">
      <c r="A420" s="2" t="s">
        <v>457</v>
      </c>
      <c r="B420" s="1">
        <v>52</v>
      </c>
      <c r="C420" s="14">
        <f t="shared" si="36"/>
        <v>52</v>
      </c>
      <c r="D420" s="1" t="s">
        <v>16</v>
      </c>
      <c r="E420" s="1" t="s">
        <v>51</v>
      </c>
      <c r="F420" s="1" t="s">
        <v>41</v>
      </c>
      <c r="G420" s="1" t="str">
        <f t="shared" si="37"/>
        <v>Executive</v>
      </c>
      <c r="H420" s="1">
        <v>83621</v>
      </c>
      <c r="I420" s="1">
        <f t="shared" si="38"/>
        <v>83621</v>
      </c>
      <c r="J420" s="1">
        <v>4</v>
      </c>
      <c r="K420" s="14">
        <f t="shared" si="39"/>
        <v>4</v>
      </c>
      <c r="L420" s="1">
        <v>5</v>
      </c>
      <c r="M420" s="1">
        <f t="shared" si="40"/>
        <v>5</v>
      </c>
      <c r="N420" s="1">
        <v>1</v>
      </c>
      <c r="O420" s="1">
        <f t="shared" si="41"/>
        <v>1</v>
      </c>
      <c r="P420" s="1" t="s">
        <v>19</v>
      </c>
      <c r="Q420" s="1">
        <v>7</v>
      </c>
      <c r="R420" s="1" t="s">
        <v>20</v>
      </c>
      <c r="S420" s="1" t="s">
        <v>30</v>
      </c>
      <c r="T420" s="1">
        <v>67</v>
      </c>
      <c r="U420" s="3" t="s">
        <v>42</v>
      </c>
    </row>
    <row r="421" spans="1:21" x14ac:dyDescent="0.25">
      <c r="A421" s="2" t="s">
        <v>458</v>
      </c>
      <c r="B421" s="1">
        <v>31</v>
      </c>
      <c r="C421" s="14">
        <f t="shared" si="36"/>
        <v>31</v>
      </c>
      <c r="D421" s="1" t="s">
        <v>16</v>
      </c>
      <c r="E421" s="1" t="s">
        <v>29</v>
      </c>
      <c r="F421" s="1" t="s">
        <v>38</v>
      </c>
      <c r="G421" s="1" t="str">
        <f t="shared" si="37"/>
        <v>Lead</v>
      </c>
      <c r="H421" s="1">
        <v>64125</v>
      </c>
      <c r="I421" s="1">
        <f t="shared" si="38"/>
        <v>64125</v>
      </c>
      <c r="J421" s="1">
        <v>3</v>
      </c>
      <c r="K421" s="14">
        <f t="shared" si="39"/>
        <v>3</v>
      </c>
      <c r="L421" s="1">
        <v>3</v>
      </c>
      <c r="M421" s="1">
        <f t="shared" si="40"/>
        <v>3</v>
      </c>
      <c r="N421" s="1">
        <v>2</v>
      </c>
      <c r="O421" s="1">
        <f t="shared" si="41"/>
        <v>2</v>
      </c>
      <c r="P421" s="1" t="s">
        <v>20</v>
      </c>
      <c r="Q421" s="1">
        <v>1</v>
      </c>
      <c r="R421" s="1" t="s">
        <v>20</v>
      </c>
      <c r="S421" s="1" t="s">
        <v>30</v>
      </c>
      <c r="T421" s="1">
        <v>8</v>
      </c>
      <c r="U421" s="3" t="s">
        <v>31</v>
      </c>
    </row>
    <row r="422" spans="1:21" x14ac:dyDescent="0.25">
      <c r="A422" s="2" t="s">
        <v>459</v>
      </c>
      <c r="B422" s="1">
        <v>38</v>
      </c>
      <c r="C422" s="14">
        <f t="shared" si="36"/>
        <v>38</v>
      </c>
      <c r="D422" s="1" t="s">
        <v>16</v>
      </c>
      <c r="E422" s="1" t="s">
        <v>51</v>
      </c>
      <c r="F422" s="1" t="s">
        <v>18</v>
      </c>
      <c r="G422" s="1" t="str">
        <f t="shared" si="37"/>
        <v>Analyst</v>
      </c>
      <c r="H422" s="1">
        <v>69491</v>
      </c>
      <c r="I422" s="1">
        <f t="shared" si="38"/>
        <v>69491</v>
      </c>
      <c r="J422" s="1">
        <v>2</v>
      </c>
      <c r="K422" s="14">
        <f t="shared" si="39"/>
        <v>2</v>
      </c>
      <c r="L422" s="1"/>
      <c r="M422" s="1">
        <f t="shared" si="40"/>
        <v>3</v>
      </c>
      <c r="N422" s="1">
        <v>4</v>
      </c>
      <c r="O422" s="1">
        <f t="shared" si="41"/>
        <v>4</v>
      </c>
      <c r="P422" s="1" t="s">
        <v>19</v>
      </c>
      <c r="Q422" s="1">
        <v>13</v>
      </c>
      <c r="R422" s="1" t="s">
        <v>19</v>
      </c>
      <c r="S422" s="1" t="s">
        <v>26</v>
      </c>
      <c r="T422" s="1">
        <v>24</v>
      </c>
      <c r="U422" s="3" t="s">
        <v>42</v>
      </c>
    </row>
    <row r="423" spans="1:21" x14ac:dyDescent="0.25">
      <c r="A423" s="2" t="s">
        <v>460</v>
      </c>
      <c r="B423" s="1">
        <v>40</v>
      </c>
      <c r="C423" s="14">
        <f t="shared" si="36"/>
        <v>40</v>
      </c>
      <c r="D423" s="1" t="s">
        <v>28</v>
      </c>
      <c r="E423" s="1" t="s">
        <v>49</v>
      </c>
      <c r="F423" s="1" t="s">
        <v>25</v>
      </c>
      <c r="G423" s="1" t="str">
        <f t="shared" si="37"/>
        <v>Associate</v>
      </c>
      <c r="H423" s="1">
        <v>35271</v>
      </c>
      <c r="I423" s="1">
        <f t="shared" si="38"/>
        <v>35271</v>
      </c>
      <c r="J423" s="1">
        <v>2</v>
      </c>
      <c r="K423" s="14">
        <f t="shared" si="39"/>
        <v>2</v>
      </c>
      <c r="L423" s="1">
        <v>2</v>
      </c>
      <c r="M423" s="1">
        <f t="shared" si="40"/>
        <v>2</v>
      </c>
      <c r="N423" s="1">
        <v>5</v>
      </c>
      <c r="O423" s="1">
        <f t="shared" si="41"/>
        <v>5</v>
      </c>
      <c r="P423" s="1" t="s">
        <v>19</v>
      </c>
      <c r="Q423" s="1">
        <v>4</v>
      </c>
      <c r="R423" s="1" t="s">
        <v>20</v>
      </c>
      <c r="S423" s="1" t="s">
        <v>26</v>
      </c>
      <c r="T423" s="1">
        <v>72</v>
      </c>
      <c r="U423" s="3" t="s">
        <v>44</v>
      </c>
    </row>
    <row r="424" spans="1:21" x14ac:dyDescent="0.25">
      <c r="A424" s="2" t="s">
        <v>461</v>
      </c>
      <c r="B424" s="1">
        <v>48</v>
      </c>
      <c r="C424" s="14">
        <f t="shared" si="36"/>
        <v>48</v>
      </c>
      <c r="D424" s="1" t="s">
        <v>16</v>
      </c>
      <c r="E424" s="1" t="s">
        <v>17</v>
      </c>
      <c r="F424" s="1" t="s">
        <v>25</v>
      </c>
      <c r="G424" s="1" t="str">
        <f t="shared" si="37"/>
        <v>Associate</v>
      </c>
      <c r="H424" s="1">
        <v>38715</v>
      </c>
      <c r="I424" s="1">
        <f t="shared" si="38"/>
        <v>38715</v>
      </c>
      <c r="J424" s="1">
        <v>3</v>
      </c>
      <c r="K424" s="14">
        <f t="shared" si="39"/>
        <v>3</v>
      </c>
      <c r="L424" s="1">
        <v>1</v>
      </c>
      <c r="M424" s="1">
        <f t="shared" si="40"/>
        <v>1</v>
      </c>
      <c r="N424" s="1">
        <v>5</v>
      </c>
      <c r="O424" s="1">
        <f t="shared" si="41"/>
        <v>5</v>
      </c>
      <c r="P424" s="1" t="s">
        <v>19</v>
      </c>
      <c r="Q424" s="1">
        <v>5</v>
      </c>
      <c r="R424" s="1" t="s">
        <v>20</v>
      </c>
      <c r="S424" s="1" t="s">
        <v>21</v>
      </c>
      <c r="T424" s="1">
        <v>8</v>
      </c>
      <c r="U424" s="3" t="s">
        <v>36</v>
      </c>
    </row>
    <row r="425" spans="1:21" x14ac:dyDescent="0.25">
      <c r="A425" s="2" t="s">
        <v>462</v>
      </c>
      <c r="B425" s="1">
        <v>47</v>
      </c>
      <c r="C425" s="14">
        <f t="shared" si="36"/>
        <v>47</v>
      </c>
      <c r="D425" s="1" t="s">
        <v>28</v>
      </c>
      <c r="E425" s="1" t="s">
        <v>29</v>
      </c>
      <c r="F425" s="1" t="s">
        <v>33</v>
      </c>
      <c r="G425" s="1" t="str">
        <f t="shared" si="37"/>
        <v>Engineer</v>
      </c>
      <c r="H425" s="1">
        <v>115728</v>
      </c>
      <c r="I425" s="1">
        <f t="shared" si="38"/>
        <v>115728</v>
      </c>
      <c r="J425" s="1">
        <v>3</v>
      </c>
      <c r="K425" s="14">
        <f t="shared" si="39"/>
        <v>3</v>
      </c>
      <c r="L425" s="1">
        <v>2</v>
      </c>
      <c r="M425" s="1">
        <f t="shared" si="40"/>
        <v>2</v>
      </c>
      <c r="N425" s="1">
        <v>2</v>
      </c>
      <c r="O425" s="1">
        <f t="shared" si="41"/>
        <v>2</v>
      </c>
      <c r="P425" s="1" t="s">
        <v>19</v>
      </c>
      <c r="Q425" s="1">
        <v>4</v>
      </c>
      <c r="R425" s="1" t="s">
        <v>19</v>
      </c>
      <c r="S425" s="1" t="s">
        <v>21</v>
      </c>
      <c r="T425" s="1">
        <v>39</v>
      </c>
      <c r="U425" s="3" t="s">
        <v>31</v>
      </c>
    </row>
    <row r="426" spans="1:21" x14ac:dyDescent="0.25">
      <c r="A426" s="2" t="s">
        <v>463</v>
      </c>
      <c r="B426" s="1">
        <v>57</v>
      </c>
      <c r="C426" s="14">
        <f t="shared" si="36"/>
        <v>57</v>
      </c>
      <c r="D426" s="1" t="s">
        <v>16</v>
      </c>
      <c r="E426" s="1" t="s">
        <v>24</v>
      </c>
      <c r="F426" s="1" t="s">
        <v>41</v>
      </c>
      <c r="G426" s="1" t="str">
        <f t="shared" si="37"/>
        <v>Executive</v>
      </c>
      <c r="H426" s="1">
        <v>48266</v>
      </c>
      <c r="I426" s="1">
        <f t="shared" si="38"/>
        <v>48266</v>
      </c>
      <c r="J426" s="1">
        <v>1</v>
      </c>
      <c r="K426" s="14">
        <f t="shared" si="39"/>
        <v>1</v>
      </c>
      <c r="L426" s="1">
        <v>3</v>
      </c>
      <c r="M426" s="1">
        <f t="shared" si="40"/>
        <v>3</v>
      </c>
      <c r="N426" s="1">
        <v>1</v>
      </c>
      <c r="O426" s="1">
        <f t="shared" si="41"/>
        <v>1</v>
      </c>
      <c r="P426" s="1" t="s">
        <v>20</v>
      </c>
      <c r="Q426" s="1">
        <v>4</v>
      </c>
      <c r="R426" s="1" t="s">
        <v>20</v>
      </c>
      <c r="S426" s="1" t="s">
        <v>26</v>
      </c>
      <c r="T426" s="1">
        <v>52</v>
      </c>
      <c r="U426" s="3" t="s">
        <v>44</v>
      </c>
    </row>
    <row r="427" spans="1:21" x14ac:dyDescent="0.25">
      <c r="A427" s="2" t="s">
        <v>464</v>
      </c>
      <c r="B427" s="1">
        <v>45</v>
      </c>
      <c r="C427" s="14">
        <f t="shared" si="36"/>
        <v>45</v>
      </c>
      <c r="D427" s="1" t="s">
        <v>28</v>
      </c>
      <c r="E427" s="1" t="s">
        <v>49</v>
      </c>
      <c r="F427" s="1" t="s">
        <v>41</v>
      </c>
      <c r="G427" s="1" t="str">
        <f t="shared" si="37"/>
        <v>Executive</v>
      </c>
      <c r="H427" s="1">
        <v>39467</v>
      </c>
      <c r="I427" s="1">
        <f t="shared" si="38"/>
        <v>39467</v>
      </c>
      <c r="J427" s="1">
        <v>2</v>
      </c>
      <c r="K427" s="14">
        <f t="shared" si="39"/>
        <v>2</v>
      </c>
      <c r="L427" s="1">
        <v>2</v>
      </c>
      <c r="M427" s="1">
        <f t="shared" si="40"/>
        <v>2</v>
      </c>
      <c r="N427" s="1">
        <v>1</v>
      </c>
      <c r="O427" s="1">
        <f t="shared" si="41"/>
        <v>1</v>
      </c>
      <c r="P427" s="1" t="s">
        <v>20</v>
      </c>
      <c r="Q427" s="1">
        <v>0</v>
      </c>
      <c r="R427" s="1" t="s">
        <v>20</v>
      </c>
      <c r="S427" s="1" t="s">
        <v>30</v>
      </c>
      <c r="T427" s="1">
        <v>33</v>
      </c>
      <c r="U427" s="3" t="s">
        <v>44</v>
      </c>
    </row>
    <row r="428" spans="1:21" x14ac:dyDescent="0.25">
      <c r="A428" s="2" t="s">
        <v>465</v>
      </c>
      <c r="B428" s="1">
        <v>34</v>
      </c>
      <c r="C428" s="14">
        <f t="shared" si="36"/>
        <v>34</v>
      </c>
      <c r="D428" s="1" t="s">
        <v>16</v>
      </c>
      <c r="E428" s="1" t="s">
        <v>51</v>
      </c>
      <c r="F428" s="1" t="s">
        <v>33</v>
      </c>
      <c r="G428" s="1" t="str">
        <f t="shared" si="37"/>
        <v>Engineer</v>
      </c>
      <c r="H428" s="1">
        <v>98879</v>
      </c>
      <c r="I428" s="1">
        <f t="shared" si="38"/>
        <v>98879</v>
      </c>
      <c r="J428" s="1">
        <v>4</v>
      </c>
      <c r="K428" s="14">
        <f t="shared" si="39"/>
        <v>4</v>
      </c>
      <c r="L428" s="1">
        <v>3</v>
      </c>
      <c r="M428" s="1">
        <f t="shared" si="40"/>
        <v>3</v>
      </c>
      <c r="N428" s="1">
        <v>4</v>
      </c>
      <c r="O428" s="1">
        <f t="shared" si="41"/>
        <v>4</v>
      </c>
      <c r="P428" s="1" t="s">
        <v>19</v>
      </c>
      <c r="Q428" s="1">
        <v>13</v>
      </c>
      <c r="R428" s="1" t="s">
        <v>20</v>
      </c>
      <c r="S428" s="1" t="s">
        <v>21</v>
      </c>
      <c r="T428" s="1">
        <v>53</v>
      </c>
      <c r="U428" s="3" t="s">
        <v>36</v>
      </c>
    </row>
    <row r="429" spans="1:21" x14ac:dyDescent="0.25">
      <c r="A429" s="2" t="s">
        <v>466</v>
      </c>
      <c r="B429" s="1">
        <v>46</v>
      </c>
      <c r="C429" s="14">
        <f t="shared" si="36"/>
        <v>46</v>
      </c>
      <c r="D429" s="1" t="s">
        <v>16</v>
      </c>
      <c r="E429" s="1" t="s">
        <v>24</v>
      </c>
      <c r="F429" s="1" t="s">
        <v>35</v>
      </c>
      <c r="G429" s="1" t="str">
        <f t="shared" si="37"/>
        <v>Manager</v>
      </c>
      <c r="H429" s="1">
        <v>77193</v>
      </c>
      <c r="I429" s="1">
        <f t="shared" si="38"/>
        <v>77193</v>
      </c>
      <c r="J429" s="1">
        <v>4</v>
      </c>
      <c r="K429" s="14">
        <f t="shared" si="39"/>
        <v>4</v>
      </c>
      <c r="L429" s="1">
        <v>1</v>
      </c>
      <c r="M429" s="1">
        <f t="shared" si="40"/>
        <v>1</v>
      </c>
      <c r="N429" s="1">
        <v>2</v>
      </c>
      <c r="O429" s="1">
        <f t="shared" si="41"/>
        <v>2</v>
      </c>
      <c r="P429" s="1" t="s">
        <v>20</v>
      </c>
      <c r="Q429" s="1">
        <v>1</v>
      </c>
      <c r="R429" s="1" t="s">
        <v>20</v>
      </c>
      <c r="S429" s="1" t="s">
        <v>26</v>
      </c>
      <c r="T429" s="1">
        <v>11</v>
      </c>
      <c r="U429" s="3" t="s">
        <v>44</v>
      </c>
    </row>
    <row r="430" spans="1:21" x14ac:dyDescent="0.25">
      <c r="A430" s="2" t="s">
        <v>467</v>
      </c>
      <c r="B430" s="1">
        <v>39</v>
      </c>
      <c r="C430" s="14">
        <f t="shared" si="36"/>
        <v>39</v>
      </c>
      <c r="D430" s="1" t="s">
        <v>28</v>
      </c>
      <c r="E430" s="1" t="s">
        <v>49</v>
      </c>
      <c r="F430" s="1" t="s">
        <v>18</v>
      </c>
      <c r="G430" s="1" t="str">
        <f t="shared" si="37"/>
        <v>Analyst</v>
      </c>
      <c r="H430" s="1">
        <v>119407</v>
      </c>
      <c r="I430" s="1">
        <f t="shared" si="38"/>
        <v>119407</v>
      </c>
      <c r="J430" s="1">
        <v>3</v>
      </c>
      <c r="K430" s="14">
        <f t="shared" si="39"/>
        <v>3</v>
      </c>
      <c r="L430" s="1">
        <v>4</v>
      </c>
      <c r="M430" s="1">
        <f t="shared" si="40"/>
        <v>4</v>
      </c>
      <c r="N430" s="1"/>
      <c r="O430" s="1">
        <f t="shared" si="41"/>
        <v>3</v>
      </c>
      <c r="P430" s="1" t="s">
        <v>20</v>
      </c>
      <c r="Q430" s="1">
        <v>9</v>
      </c>
      <c r="R430" s="1" t="s">
        <v>19</v>
      </c>
      <c r="S430" s="1" t="s">
        <v>26</v>
      </c>
      <c r="T430" s="1">
        <v>71</v>
      </c>
      <c r="U430" s="3" t="s">
        <v>44</v>
      </c>
    </row>
    <row r="431" spans="1:21" x14ac:dyDescent="0.25">
      <c r="A431" s="2" t="s">
        <v>468</v>
      </c>
      <c r="B431" s="1">
        <v>50</v>
      </c>
      <c r="C431" s="14">
        <f t="shared" si="36"/>
        <v>50</v>
      </c>
      <c r="D431" s="1" t="s">
        <v>28</v>
      </c>
      <c r="E431" s="1" t="s">
        <v>40</v>
      </c>
      <c r="F431" s="1" t="s">
        <v>38</v>
      </c>
      <c r="G431" s="1" t="str">
        <f t="shared" si="37"/>
        <v>Lead</v>
      </c>
      <c r="H431" s="1">
        <v>83622</v>
      </c>
      <c r="I431" s="1">
        <f t="shared" si="38"/>
        <v>83622</v>
      </c>
      <c r="J431" s="1">
        <v>1</v>
      </c>
      <c r="K431" s="14">
        <f t="shared" si="39"/>
        <v>1</v>
      </c>
      <c r="L431" s="1">
        <v>2</v>
      </c>
      <c r="M431" s="1">
        <f t="shared" si="40"/>
        <v>2</v>
      </c>
      <c r="N431" s="1">
        <v>5</v>
      </c>
      <c r="O431" s="1">
        <f t="shared" si="41"/>
        <v>5</v>
      </c>
      <c r="P431" s="1" t="s">
        <v>19</v>
      </c>
      <c r="Q431" s="1">
        <v>12</v>
      </c>
      <c r="R431" s="1" t="s">
        <v>20</v>
      </c>
      <c r="S431" s="1" t="s">
        <v>30</v>
      </c>
      <c r="T431" s="1">
        <v>62</v>
      </c>
      <c r="U431" s="3" t="s">
        <v>22</v>
      </c>
    </row>
    <row r="432" spans="1:21" x14ac:dyDescent="0.25">
      <c r="A432" s="2" t="s">
        <v>469</v>
      </c>
      <c r="B432" s="1">
        <v>32</v>
      </c>
      <c r="C432" s="14">
        <f t="shared" si="36"/>
        <v>32</v>
      </c>
      <c r="D432" s="1" t="s">
        <v>28</v>
      </c>
      <c r="E432" s="1" t="s">
        <v>24</v>
      </c>
      <c r="F432" s="1" t="s">
        <v>38</v>
      </c>
      <c r="G432" s="1" t="str">
        <f t="shared" si="37"/>
        <v>Lead</v>
      </c>
      <c r="H432" s="1">
        <v>44467</v>
      </c>
      <c r="I432" s="1">
        <f t="shared" si="38"/>
        <v>44467</v>
      </c>
      <c r="J432" s="1">
        <v>4</v>
      </c>
      <c r="K432" s="14">
        <f t="shared" si="39"/>
        <v>4</v>
      </c>
      <c r="L432" s="1">
        <v>1</v>
      </c>
      <c r="M432" s="1">
        <f t="shared" si="40"/>
        <v>1</v>
      </c>
      <c r="N432" s="1">
        <v>3</v>
      </c>
      <c r="O432" s="1">
        <f t="shared" si="41"/>
        <v>3</v>
      </c>
      <c r="P432" s="1" t="s">
        <v>20</v>
      </c>
      <c r="Q432" s="1">
        <v>20</v>
      </c>
      <c r="R432" s="1" t="s">
        <v>19</v>
      </c>
      <c r="S432" s="1" t="s">
        <v>26</v>
      </c>
      <c r="T432" s="1">
        <v>20</v>
      </c>
      <c r="U432" s="3" t="s">
        <v>22</v>
      </c>
    </row>
    <row r="433" spans="1:21" x14ac:dyDescent="0.25">
      <c r="A433" s="2" t="s">
        <v>470</v>
      </c>
      <c r="B433" s="1">
        <v>28</v>
      </c>
      <c r="C433" s="14">
        <f t="shared" si="36"/>
        <v>28</v>
      </c>
      <c r="D433" s="1" t="s">
        <v>28</v>
      </c>
      <c r="E433" s="1" t="s">
        <v>17</v>
      </c>
      <c r="F433" s="1" t="s">
        <v>18</v>
      </c>
      <c r="G433" s="1" t="str">
        <f t="shared" si="37"/>
        <v>Analyst</v>
      </c>
      <c r="H433" s="1">
        <v>29181</v>
      </c>
      <c r="I433" s="1">
        <f t="shared" si="38"/>
        <v>29181</v>
      </c>
      <c r="J433" s="1">
        <v>5</v>
      </c>
      <c r="K433" s="14">
        <f t="shared" si="39"/>
        <v>5</v>
      </c>
      <c r="L433" s="1">
        <v>4</v>
      </c>
      <c r="M433" s="1">
        <f t="shared" si="40"/>
        <v>4</v>
      </c>
      <c r="N433" s="1">
        <v>5</v>
      </c>
      <c r="O433" s="1">
        <f t="shared" si="41"/>
        <v>5</v>
      </c>
      <c r="P433" s="1" t="s">
        <v>19</v>
      </c>
      <c r="Q433" s="1">
        <v>12</v>
      </c>
      <c r="R433" s="1" t="s">
        <v>20</v>
      </c>
      <c r="S433" s="1" t="s">
        <v>21</v>
      </c>
      <c r="T433" s="1">
        <v>26</v>
      </c>
      <c r="U433" s="3" t="s">
        <v>36</v>
      </c>
    </row>
    <row r="434" spans="1:21" x14ac:dyDescent="0.25">
      <c r="A434" s="2" t="s">
        <v>471</v>
      </c>
      <c r="B434" s="1">
        <v>57</v>
      </c>
      <c r="C434" s="14">
        <f t="shared" si="36"/>
        <v>57</v>
      </c>
      <c r="D434" s="1" t="s">
        <v>16</v>
      </c>
      <c r="E434" s="1" t="s">
        <v>51</v>
      </c>
      <c r="F434" s="1" t="s">
        <v>41</v>
      </c>
      <c r="G434" s="1" t="str">
        <f t="shared" si="37"/>
        <v>Executive</v>
      </c>
      <c r="H434" s="1">
        <v>41444</v>
      </c>
      <c r="I434" s="1">
        <f t="shared" si="38"/>
        <v>41444</v>
      </c>
      <c r="J434" s="1">
        <v>1</v>
      </c>
      <c r="K434" s="14">
        <f t="shared" si="39"/>
        <v>1</v>
      </c>
      <c r="L434" s="1">
        <v>4</v>
      </c>
      <c r="M434" s="1">
        <f t="shared" si="40"/>
        <v>4</v>
      </c>
      <c r="N434" s="1">
        <v>3</v>
      </c>
      <c r="O434" s="1">
        <f t="shared" si="41"/>
        <v>3</v>
      </c>
      <c r="P434" s="1" t="s">
        <v>20</v>
      </c>
      <c r="Q434" s="1">
        <v>14</v>
      </c>
      <c r="R434" s="1" t="s">
        <v>20</v>
      </c>
      <c r="S434" s="1" t="s">
        <v>26</v>
      </c>
      <c r="T434" s="1">
        <v>28</v>
      </c>
      <c r="U434" s="3" t="s">
        <v>22</v>
      </c>
    </row>
    <row r="435" spans="1:21" x14ac:dyDescent="0.25">
      <c r="A435" s="2" t="s">
        <v>472</v>
      </c>
      <c r="B435" s="1">
        <v>29</v>
      </c>
      <c r="C435" s="14">
        <f t="shared" si="36"/>
        <v>29</v>
      </c>
      <c r="D435" s="1" t="s">
        <v>16</v>
      </c>
      <c r="E435" s="1" t="s">
        <v>40</v>
      </c>
      <c r="F435" s="1" t="s">
        <v>25</v>
      </c>
      <c r="G435" s="1" t="str">
        <f t="shared" si="37"/>
        <v>Associate</v>
      </c>
      <c r="H435" s="1">
        <v>118321</v>
      </c>
      <c r="I435" s="1">
        <f t="shared" si="38"/>
        <v>118321</v>
      </c>
      <c r="J435" s="1">
        <v>3</v>
      </c>
      <c r="K435" s="14">
        <f t="shared" si="39"/>
        <v>3</v>
      </c>
      <c r="L435" s="1">
        <v>1</v>
      </c>
      <c r="M435" s="1">
        <f t="shared" si="40"/>
        <v>1</v>
      </c>
      <c r="N435" s="1">
        <v>4</v>
      </c>
      <c r="O435" s="1">
        <f t="shared" si="41"/>
        <v>4</v>
      </c>
      <c r="P435" s="1" t="s">
        <v>20</v>
      </c>
      <c r="Q435" s="1">
        <v>15</v>
      </c>
      <c r="R435" s="1" t="s">
        <v>19</v>
      </c>
      <c r="S435" s="1" t="s">
        <v>26</v>
      </c>
      <c r="T435" s="1">
        <v>68</v>
      </c>
      <c r="U435" s="3" t="s">
        <v>44</v>
      </c>
    </row>
    <row r="436" spans="1:21" x14ac:dyDescent="0.25">
      <c r="A436" s="2" t="s">
        <v>473</v>
      </c>
      <c r="B436" s="1">
        <v>34</v>
      </c>
      <c r="C436" s="14">
        <f t="shared" si="36"/>
        <v>34</v>
      </c>
      <c r="D436" s="1" t="s">
        <v>28</v>
      </c>
      <c r="E436" s="1" t="s">
        <v>49</v>
      </c>
      <c r="F436" s="1" t="s">
        <v>33</v>
      </c>
      <c r="G436" s="1" t="str">
        <f t="shared" si="37"/>
        <v>Engineer</v>
      </c>
      <c r="H436" s="1">
        <v>75917</v>
      </c>
      <c r="I436" s="1">
        <f t="shared" si="38"/>
        <v>75917</v>
      </c>
      <c r="J436" s="1">
        <v>1</v>
      </c>
      <c r="K436" s="14">
        <f t="shared" si="39"/>
        <v>1</v>
      </c>
      <c r="L436" s="1">
        <v>5</v>
      </c>
      <c r="M436" s="1">
        <f t="shared" si="40"/>
        <v>5</v>
      </c>
      <c r="N436" s="1">
        <v>5</v>
      </c>
      <c r="O436" s="1">
        <f t="shared" si="41"/>
        <v>5</v>
      </c>
      <c r="P436" s="1" t="s">
        <v>19</v>
      </c>
      <c r="Q436" s="1">
        <v>7</v>
      </c>
      <c r="R436" s="1" t="s">
        <v>20</v>
      </c>
      <c r="S436" s="1" t="s">
        <v>26</v>
      </c>
      <c r="T436" s="1">
        <v>76</v>
      </c>
      <c r="U436" s="3" t="s">
        <v>44</v>
      </c>
    </row>
    <row r="437" spans="1:21" x14ac:dyDescent="0.25">
      <c r="A437" s="2" t="s">
        <v>474</v>
      </c>
      <c r="B437" s="1">
        <v>24</v>
      </c>
      <c r="C437" s="14">
        <f t="shared" si="36"/>
        <v>24</v>
      </c>
      <c r="D437" s="1" t="s">
        <v>16</v>
      </c>
      <c r="E437" s="1" t="s">
        <v>51</v>
      </c>
      <c r="F437" s="1" t="s">
        <v>35</v>
      </c>
      <c r="G437" s="1" t="str">
        <f t="shared" si="37"/>
        <v>Manager</v>
      </c>
      <c r="H437" s="1">
        <v>103626</v>
      </c>
      <c r="I437" s="1">
        <f t="shared" si="38"/>
        <v>103626</v>
      </c>
      <c r="J437" s="1">
        <v>3</v>
      </c>
      <c r="K437" s="14">
        <f t="shared" si="39"/>
        <v>3</v>
      </c>
      <c r="L437" s="1">
        <v>1</v>
      </c>
      <c r="M437" s="1">
        <f t="shared" si="40"/>
        <v>1</v>
      </c>
      <c r="N437" s="1">
        <v>2</v>
      </c>
      <c r="O437" s="1">
        <f t="shared" si="41"/>
        <v>2</v>
      </c>
      <c r="P437" s="1" t="s">
        <v>19</v>
      </c>
      <c r="Q437" s="1">
        <v>18</v>
      </c>
      <c r="R437" s="1" t="s">
        <v>20</v>
      </c>
      <c r="S437" s="1" t="s">
        <v>30</v>
      </c>
      <c r="T437" s="1">
        <v>16</v>
      </c>
      <c r="U437" s="3" t="s">
        <v>22</v>
      </c>
    </row>
    <row r="438" spans="1:21" x14ac:dyDescent="0.25">
      <c r="A438" s="2" t="s">
        <v>475</v>
      </c>
      <c r="B438" s="1">
        <v>27</v>
      </c>
      <c r="C438" s="14">
        <f t="shared" si="36"/>
        <v>27</v>
      </c>
      <c r="D438" s="1" t="s">
        <v>28</v>
      </c>
      <c r="E438" s="1" t="s">
        <v>51</v>
      </c>
      <c r="F438" s="1" t="s">
        <v>41</v>
      </c>
      <c r="G438" s="1" t="str">
        <f t="shared" si="37"/>
        <v>Executive</v>
      </c>
      <c r="H438" s="1">
        <v>106092</v>
      </c>
      <c r="I438" s="1">
        <f t="shared" si="38"/>
        <v>106092</v>
      </c>
      <c r="J438" s="1"/>
      <c r="K438" s="14">
        <f t="shared" si="39"/>
        <v>3</v>
      </c>
      <c r="L438" s="1">
        <v>5</v>
      </c>
      <c r="M438" s="1">
        <f t="shared" si="40"/>
        <v>5</v>
      </c>
      <c r="N438" s="1">
        <v>5</v>
      </c>
      <c r="O438" s="1">
        <f t="shared" si="41"/>
        <v>5</v>
      </c>
      <c r="P438" s="1" t="s">
        <v>19</v>
      </c>
      <c r="Q438" s="1">
        <v>14</v>
      </c>
      <c r="R438" s="1" t="s">
        <v>20</v>
      </c>
      <c r="S438" s="1" t="s">
        <v>21</v>
      </c>
      <c r="T438" s="1">
        <v>16</v>
      </c>
      <c r="U438" s="3" t="s">
        <v>36</v>
      </c>
    </row>
    <row r="439" spans="1:21" x14ac:dyDescent="0.25">
      <c r="A439" s="2" t="s">
        <v>476</v>
      </c>
      <c r="B439" s="1"/>
      <c r="C439" s="14">
        <f t="shared" si="36"/>
        <v>39</v>
      </c>
      <c r="D439" s="1" t="s">
        <v>28</v>
      </c>
      <c r="E439" s="1" t="s">
        <v>49</v>
      </c>
      <c r="F439" s="1" t="s">
        <v>35</v>
      </c>
      <c r="G439" s="1" t="str">
        <f t="shared" si="37"/>
        <v>Manager</v>
      </c>
      <c r="H439" s="1">
        <v>117410</v>
      </c>
      <c r="I439" s="1">
        <f t="shared" si="38"/>
        <v>117410</v>
      </c>
      <c r="J439" s="1">
        <v>4</v>
      </c>
      <c r="K439" s="14">
        <f t="shared" si="39"/>
        <v>4</v>
      </c>
      <c r="L439" s="1">
        <v>5</v>
      </c>
      <c r="M439" s="1">
        <f t="shared" si="40"/>
        <v>5</v>
      </c>
      <c r="N439" s="1">
        <v>1</v>
      </c>
      <c r="O439" s="1">
        <f t="shared" si="41"/>
        <v>1</v>
      </c>
      <c r="P439" s="1" t="s">
        <v>20</v>
      </c>
      <c r="Q439" s="1">
        <v>15</v>
      </c>
      <c r="R439" s="1" t="s">
        <v>19</v>
      </c>
      <c r="S439" s="1" t="s">
        <v>21</v>
      </c>
      <c r="T439" s="1">
        <v>40</v>
      </c>
      <c r="U439" s="3" t="s">
        <v>36</v>
      </c>
    </row>
    <row r="440" spans="1:21" x14ac:dyDescent="0.25">
      <c r="A440" s="2" t="s">
        <v>477</v>
      </c>
      <c r="B440" s="1"/>
      <c r="C440" s="14">
        <f t="shared" si="36"/>
        <v>39</v>
      </c>
      <c r="D440" s="1" t="s">
        <v>28</v>
      </c>
      <c r="E440" s="1" t="s">
        <v>24</v>
      </c>
      <c r="F440" s="1" t="s">
        <v>41</v>
      </c>
      <c r="G440" s="1" t="str">
        <f t="shared" si="37"/>
        <v>Executive</v>
      </c>
      <c r="H440" s="1">
        <v>109203</v>
      </c>
      <c r="I440" s="1">
        <f t="shared" si="38"/>
        <v>109203</v>
      </c>
      <c r="J440" s="1">
        <v>2</v>
      </c>
      <c r="K440" s="14">
        <f t="shared" si="39"/>
        <v>2</v>
      </c>
      <c r="L440" s="1">
        <v>5</v>
      </c>
      <c r="M440" s="1">
        <f t="shared" si="40"/>
        <v>5</v>
      </c>
      <c r="N440" s="1">
        <v>1</v>
      </c>
      <c r="O440" s="1">
        <f t="shared" si="41"/>
        <v>1</v>
      </c>
      <c r="P440" s="1" t="s">
        <v>19</v>
      </c>
      <c r="Q440" s="1">
        <v>18</v>
      </c>
      <c r="R440" s="1" t="s">
        <v>19</v>
      </c>
      <c r="S440" s="1" t="s">
        <v>30</v>
      </c>
      <c r="T440" s="1">
        <v>41</v>
      </c>
      <c r="U440" s="3" t="s">
        <v>42</v>
      </c>
    </row>
    <row r="441" spans="1:21" x14ac:dyDescent="0.25">
      <c r="A441" s="2" t="s">
        <v>478</v>
      </c>
      <c r="B441" s="1">
        <v>41</v>
      </c>
      <c r="C441" s="14">
        <f t="shared" si="36"/>
        <v>41</v>
      </c>
      <c r="D441" s="1" t="s">
        <v>28</v>
      </c>
      <c r="E441" s="1" t="s">
        <v>24</v>
      </c>
      <c r="F441" s="1" t="s">
        <v>25</v>
      </c>
      <c r="G441" s="1" t="str">
        <f t="shared" si="37"/>
        <v>Associate</v>
      </c>
      <c r="H441" s="1">
        <v>99689</v>
      </c>
      <c r="I441" s="1">
        <f t="shared" si="38"/>
        <v>99689</v>
      </c>
      <c r="J441" s="1">
        <v>3</v>
      </c>
      <c r="K441" s="14">
        <f t="shared" si="39"/>
        <v>3</v>
      </c>
      <c r="L441" s="1">
        <v>2</v>
      </c>
      <c r="M441" s="1">
        <f t="shared" si="40"/>
        <v>2</v>
      </c>
      <c r="N441" s="1">
        <v>5</v>
      </c>
      <c r="O441" s="1">
        <f t="shared" si="41"/>
        <v>5</v>
      </c>
      <c r="P441" s="1" t="s">
        <v>20</v>
      </c>
      <c r="Q441" s="1">
        <v>16</v>
      </c>
      <c r="R441" s="1" t="s">
        <v>20</v>
      </c>
      <c r="S441" s="1" t="s">
        <v>30</v>
      </c>
      <c r="T441" s="1">
        <v>28</v>
      </c>
      <c r="U441" s="3" t="s">
        <v>31</v>
      </c>
    </row>
    <row r="442" spans="1:21" x14ac:dyDescent="0.25">
      <c r="A442" s="2" t="s">
        <v>479</v>
      </c>
      <c r="B442" s="1">
        <v>35</v>
      </c>
      <c r="C442" s="14">
        <f t="shared" si="36"/>
        <v>35</v>
      </c>
      <c r="D442" s="1" t="s">
        <v>28</v>
      </c>
      <c r="E442" s="1" t="s">
        <v>51</v>
      </c>
      <c r="F442" s="1" t="s">
        <v>35</v>
      </c>
      <c r="G442" s="1" t="str">
        <f t="shared" si="37"/>
        <v>Manager</v>
      </c>
      <c r="H442" s="1">
        <v>33493</v>
      </c>
      <c r="I442" s="1">
        <f t="shared" si="38"/>
        <v>33493</v>
      </c>
      <c r="J442" s="1">
        <v>1</v>
      </c>
      <c r="K442" s="14">
        <f t="shared" si="39"/>
        <v>1</v>
      </c>
      <c r="L442" s="1">
        <v>4</v>
      </c>
      <c r="M442" s="1">
        <f t="shared" si="40"/>
        <v>4</v>
      </c>
      <c r="N442" s="1">
        <v>1</v>
      </c>
      <c r="O442" s="1">
        <f t="shared" si="41"/>
        <v>1</v>
      </c>
      <c r="P442" s="1" t="s">
        <v>19</v>
      </c>
      <c r="Q442" s="1">
        <v>19</v>
      </c>
      <c r="R442" s="1" t="s">
        <v>20</v>
      </c>
      <c r="S442" s="1" t="s">
        <v>30</v>
      </c>
      <c r="T442" s="1">
        <v>10</v>
      </c>
      <c r="U442" s="3" t="s">
        <v>36</v>
      </c>
    </row>
    <row r="443" spans="1:21" x14ac:dyDescent="0.25">
      <c r="A443" s="2" t="s">
        <v>480</v>
      </c>
      <c r="B443" s="1"/>
      <c r="C443" s="14">
        <f t="shared" si="36"/>
        <v>39</v>
      </c>
      <c r="D443" s="1" t="s">
        <v>16</v>
      </c>
      <c r="E443" s="1" t="s">
        <v>40</v>
      </c>
      <c r="F443" s="1" t="s">
        <v>38</v>
      </c>
      <c r="G443" s="1" t="str">
        <f t="shared" si="37"/>
        <v>Lead</v>
      </c>
      <c r="H443" s="1">
        <v>44370</v>
      </c>
      <c r="I443" s="1">
        <f t="shared" si="38"/>
        <v>44370</v>
      </c>
      <c r="J443" s="1">
        <v>3</v>
      </c>
      <c r="K443" s="14">
        <f t="shared" si="39"/>
        <v>3</v>
      </c>
      <c r="L443" s="1">
        <v>3</v>
      </c>
      <c r="M443" s="1">
        <f t="shared" si="40"/>
        <v>3</v>
      </c>
      <c r="N443" s="1">
        <v>1</v>
      </c>
      <c r="O443" s="1">
        <f t="shared" si="41"/>
        <v>1</v>
      </c>
      <c r="P443" s="1" t="s">
        <v>20</v>
      </c>
      <c r="Q443" s="1">
        <v>9</v>
      </c>
      <c r="R443" s="1" t="s">
        <v>20</v>
      </c>
      <c r="S443" s="1" t="s">
        <v>21</v>
      </c>
      <c r="T443" s="1">
        <v>19</v>
      </c>
      <c r="U443" s="3" t="s">
        <v>36</v>
      </c>
    </row>
    <row r="444" spans="1:21" x14ac:dyDescent="0.25">
      <c r="A444" s="2" t="s">
        <v>481</v>
      </c>
      <c r="B444" s="1">
        <v>42</v>
      </c>
      <c r="C444" s="14">
        <f t="shared" si="36"/>
        <v>42</v>
      </c>
      <c r="D444" s="1" t="s">
        <v>28</v>
      </c>
      <c r="E444" s="1" t="s">
        <v>17</v>
      </c>
      <c r="F444" s="1" t="s">
        <v>25</v>
      </c>
      <c r="G444" s="1" t="str">
        <f t="shared" si="37"/>
        <v>Associate</v>
      </c>
      <c r="H444" s="1">
        <v>98739</v>
      </c>
      <c r="I444" s="1">
        <f t="shared" si="38"/>
        <v>98739</v>
      </c>
      <c r="J444" s="1">
        <v>1</v>
      </c>
      <c r="K444" s="14">
        <f t="shared" si="39"/>
        <v>1</v>
      </c>
      <c r="L444" s="1">
        <v>2</v>
      </c>
      <c r="M444" s="1">
        <f t="shared" si="40"/>
        <v>2</v>
      </c>
      <c r="N444" s="1">
        <v>2</v>
      </c>
      <c r="O444" s="1">
        <f t="shared" si="41"/>
        <v>2</v>
      </c>
      <c r="P444" s="1" t="s">
        <v>20</v>
      </c>
      <c r="Q444" s="1">
        <v>10</v>
      </c>
      <c r="R444" s="1" t="s">
        <v>20</v>
      </c>
      <c r="S444" s="1" t="s">
        <v>30</v>
      </c>
      <c r="T444" s="1">
        <v>9</v>
      </c>
      <c r="U444" s="3" t="s">
        <v>44</v>
      </c>
    </row>
    <row r="445" spans="1:21" x14ac:dyDescent="0.25">
      <c r="A445" s="2" t="s">
        <v>482</v>
      </c>
      <c r="B445" s="1">
        <v>51</v>
      </c>
      <c r="C445" s="14">
        <f t="shared" si="36"/>
        <v>51</v>
      </c>
      <c r="D445" s="1" t="s">
        <v>16</v>
      </c>
      <c r="E445" s="1" t="s">
        <v>17</v>
      </c>
      <c r="F445" s="1" t="s">
        <v>33</v>
      </c>
      <c r="G445" s="1" t="str">
        <f t="shared" si="37"/>
        <v>Engineer</v>
      </c>
      <c r="H445" s="1">
        <v>88381</v>
      </c>
      <c r="I445" s="1">
        <f t="shared" si="38"/>
        <v>88381</v>
      </c>
      <c r="J445" s="1">
        <v>3</v>
      </c>
      <c r="K445" s="14">
        <f t="shared" si="39"/>
        <v>3</v>
      </c>
      <c r="L445" s="1">
        <v>4</v>
      </c>
      <c r="M445" s="1">
        <f t="shared" si="40"/>
        <v>4</v>
      </c>
      <c r="N445" s="1">
        <v>4</v>
      </c>
      <c r="O445" s="1">
        <f t="shared" si="41"/>
        <v>4</v>
      </c>
      <c r="P445" s="1" t="s">
        <v>19</v>
      </c>
      <c r="Q445" s="1">
        <v>16</v>
      </c>
      <c r="R445" s="1" t="s">
        <v>20</v>
      </c>
      <c r="S445" s="1" t="s">
        <v>26</v>
      </c>
      <c r="T445" s="1">
        <v>45</v>
      </c>
      <c r="U445" s="3" t="s">
        <v>31</v>
      </c>
    </row>
    <row r="446" spans="1:21" x14ac:dyDescent="0.25">
      <c r="A446" s="2" t="s">
        <v>483</v>
      </c>
      <c r="B446" s="1">
        <v>55</v>
      </c>
      <c r="C446" s="14">
        <f t="shared" si="36"/>
        <v>55</v>
      </c>
      <c r="D446" s="1" t="s">
        <v>16</v>
      </c>
      <c r="E446" s="1" t="s">
        <v>51</v>
      </c>
      <c r="F446" s="1" t="s">
        <v>25</v>
      </c>
      <c r="G446" s="1" t="str">
        <f t="shared" si="37"/>
        <v>Associate</v>
      </c>
      <c r="H446" s="1">
        <v>107848</v>
      </c>
      <c r="I446" s="1">
        <f t="shared" si="38"/>
        <v>107848</v>
      </c>
      <c r="J446" s="1">
        <v>3</v>
      </c>
      <c r="K446" s="14">
        <f t="shared" si="39"/>
        <v>3</v>
      </c>
      <c r="L446" s="1">
        <v>3</v>
      </c>
      <c r="M446" s="1">
        <f t="shared" si="40"/>
        <v>3</v>
      </c>
      <c r="N446" s="1">
        <v>1</v>
      </c>
      <c r="O446" s="1">
        <f t="shared" si="41"/>
        <v>1</v>
      </c>
      <c r="P446" s="1" t="s">
        <v>19</v>
      </c>
      <c r="Q446" s="1">
        <v>8</v>
      </c>
      <c r="R446" s="1" t="s">
        <v>19</v>
      </c>
      <c r="S446" s="1" t="s">
        <v>30</v>
      </c>
      <c r="T446" s="1">
        <v>53</v>
      </c>
      <c r="U446" s="3" t="s">
        <v>31</v>
      </c>
    </row>
    <row r="447" spans="1:21" x14ac:dyDescent="0.25">
      <c r="A447" s="2" t="s">
        <v>484</v>
      </c>
      <c r="B447" s="1">
        <v>31</v>
      </c>
      <c r="C447" s="14">
        <f t="shared" si="36"/>
        <v>31</v>
      </c>
      <c r="D447" s="1" t="s">
        <v>28</v>
      </c>
      <c r="E447" s="1" t="s">
        <v>51</v>
      </c>
      <c r="F447" s="1" t="s">
        <v>25</v>
      </c>
      <c r="G447" s="1" t="str">
        <f t="shared" si="37"/>
        <v>Associate</v>
      </c>
      <c r="H447" s="1">
        <v>33315</v>
      </c>
      <c r="I447" s="1">
        <f t="shared" si="38"/>
        <v>33315</v>
      </c>
      <c r="J447" s="1">
        <v>3</v>
      </c>
      <c r="K447" s="14">
        <f t="shared" si="39"/>
        <v>3</v>
      </c>
      <c r="L447" s="1">
        <v>3</v>
      </c>
      <c r="M447" s="1">
        <f t="shared" si="40"/>
        <v>3</v>
      </c>
      <c r="N447" s="1">
        <v>1</v>
      </c>
      <c r="O447" s="1">
        <f t="shared" si="41"/>
        <v>1</v>
      </c>
      <c r="P447" s="1" t="s">
        <v>20</v>
      </c>
      <c r="Q447" s="1">
        <v>13</v>
      </c>
      <c r="R447" s="1" t="s">
        <v>19</v>
      </c>
      <c r="S447" s="1" t="s">
        <v>30</v>
      </c>
      <c r="T447" s="1">
        <v>35</v>
      </c>
      <c r="U447" s="3" t="s">
        <v>36</v>
      </c>
    </row>
    <row r="448" spans="1:21" x14ac:dyDescent="0.25">
      <c r="A448" s="2" t="s">
        <v>485</v>
      </c>
      <c r="B448" s="1">
        <v>49</v>
      </c>
      <c r="C448" s="14">
        <f t="shared" si="36"/>
        <v>49</v>
      </c>
      <c r="D448" s="1" t="s">
        <v>28</v>
      </c>
      <c r="E448" s="1" t="s">
        <v>51</v>
      </c>
      <c r="F448" s="1" t="s">
        <v>25</v>
      </c>
      <c r="G448" s="1" t="str">
        <f t="shared" si="37"/>
        <v>Associate</v>
      </c>
      <c r="H448" s="1">
        <v>57625</v>
      </c>
      <c r="I448" s="1">
        <f t="shared" si="38"/>
        <v>57625</v>
      </c>
      <c r="J448" s="1">
        <v>2</v>
      </c>
      <c r="K448" s="14">
        <f t="shared" si="39"/>
        <v>2</v>
      </c>
      <c r="L448" s="1">
        <v>1</v>
      </c>
      <c r="M448" s="1">
        <f t="shared" si="40"/>
        <v>1</v>
      </c>
      <c r="N448" s="1"/>
      <c r="O448" s="1">
        <f t="shared" si="41"/>
        <v>3</v>
      </c>
      <c r="P448" s="1" t="s">
        <v>19</v>
      </c>
      <c r="Q448" s="1">
        <v>6</v>
      </c>
      <c r="R448" s="1" t="s">
        <v>19</v>
      </c>
      <c r="S448" s="1" t="s">
        <v>30</v>
      </c>
      <c r="T448" s="1">
        <v>69</v>
      </c>
      <c r="U448" s="3" t="s">
        <v>22</v>
      </c>
    </row>
    <row r="449" spans="1:21" x14ac:dyDescent="0.25">
      <c r="A449" s="2" t="s">
        <v>486</v>
      </c>
      <c r="B449" s="1">
        <v>51</v>
      </c>
      <c r="C449" s="14">
        <f t="shared" si="36"/>
        <v>51</v>
      </c>
      <c r="D449" s="1" t="s">
        <v>16</v>
      </c>
      <c r="E449" s="1" t="s">
        <v>51</v>
      </c>
      <c r="F449" s="1" t="s">
        <v>18</v>
      </c>
      <c r="G449" s="1" t="str">
        <f t="shared" si="37"/>
        <v>Analyst</v>
      </c>
      <c r="H449" s="1">
        <v>81369</v>
      </c>
      <c r="I449" s="1">
        <f t="shared" si="38"/>
        <v>81369</v>
      </c>
      <c r="J449" s="1">
        <v>5</v>
      </c>
      <c r="K449" s="14">
        <f t="shared" si="39"/>
        <v>5</v>
      </c>
      <c r="L449" s="1">
        <v>3</v>
      </c>
      <c r="M449" s="1">
        <f t="shared" si="40"/>
        <v>3</v>
      </c>
      <c r="N449" s="1">
        <v>3</v>
      </c>
      <c r="O449" s="1">
        <f t="shared" si="41"/>
        <v>3</v>
      </c>
      <c r="P449" s="1" t="s">
        <v>19</v>
      </c>
      <c r="Q449" s="1">
        <v>3</v>
      </c>
      <c r="R449" s="1" t="s">
        <v>19</v>
      </c>
      <c r="S449" s="1" t="s">
        <v>21</v>
      </c>
      <c r="T449" s="1">
        <v>9</v>
      </c>
      <c r="U449" s="3" t="s">
        <v>42</v>
      </c>
    </row>
    <row r="450" spans="1:21" x14ac:dyDescent="0.25">
      <c r="A450" s="2" t="s">
        <v>487</v>
      </c>
      <c r="B450" s="1">
        <v>45</v>
      </c>
      <c r="C450" s="14">
        <f t="shared" ref="C450:C501" si="42">IF(B450="",39,B450)</f>
        <v>45</v>
      </c>
      <c r="D450" s="1" t="s">
        <v>16</v>
      </c>
      <c r="E450" s="1" t="s">
        <v>40</v>
      </c>
      <c r="F450" s="1" t="s">
        <v>18</v>
      </c>
      <c r="G450" s="1" t="str">
        <f t="shared" ref="G450:G501" si="43">PROPER(F450)</f>
        <v>Analyst</v>
      </c>
      <c r="H450" s="1">
        <v>23771</v>
      </c>
      <c r="I450" s="1">
        <f t="shared" ref="I450:I501" si="44">IF(H450="",68925,H450)</f>
        <v>23771</v>
      </c>
      <c r="J450" s="1">
        <v>5</v>
      </c>
      <c r="K450" s="14">
        <f t="shared" ref="K450:K501" si="45">IF(J450="",3,J450)</f>
        <v>5</v>
      </c>
      <c r="L450" s="1">
        <v>1</v>
      </c>
      <c r="M450" s="1">
        <f t="shared" ref="M450:M501" si="46">IF(L450="",3,L450)</f>
        <v>1</v>
      </c>
      <c r="N450" s="1">
        <v>3</v>
      </c>
      <c r="O450" s="1">
        <f t="shared" ref="O450:O501" si="47">IF(N450="",3,N450)</f>
        <v>3</v>
      </c>
      <c r="P450" s="1" t="s">
        <v>20</v>
      </c>
      <c r="Q450" s="1">
        <v>1</v>
      </c>
      <c r="R450" s="1" t="s">
        <v>19</v>
      </c>
      <c r="S450" s="1" t="s">
        <v>26</v>
      </c>
      <c r="T450" s="1">
        <v>44</v>
      </c>
      <c r="U450" s="3" t="s">
        <v>22</v>
      </c>
    </row>
    <row r="451" spans="1:21" x14ac:dyDescent="0.25">
      <c r="A451" s="2" t="s">
        <v>488</v>
      </c>
      <c r="B451" s="1">
        <v>57</v>
      </c>
      <c r="C451" s="14">
        <f t="shared" si="42"/>
        <v>57</v>
      </c>
      <c r="D451" s="1" t="s">
        <v>28</v>
      </c>
      <c r="E451" s="1" t="s">
        <v>17</v>
      </c>
      <c r="F451" s="1" t="s">
        <v>41</v>
      </c>
      <c r="G451" s="1" t="str">
        <f t="shared" si="43"/>
        <v>Executive</v>
      </c>
      <c r="H451" s="1">
        <v>60058</v>
      </c>
      <c r="I451" s="1">
        <f t="shared" si="44"/>
        <v>60058</v>
      </c>
      <c r="J451" s="1">
        <v>2</v>
      </c>
      <c r="K451" s="14">
        <f t="shared" si="45"/>
        <v>2</v>
      </c>
      <c r="L451" s="1">
        <v>2</v>
      </c>
      <c r="M451" s="1">
        <f t="shared" si="46"/>
        <v>2</v>
      </c>
      <c r="N451" s="1">
        <v>3</v>
      </c>
      <c r="O451" s="1">
        <f t="shared" si="47"/>
        <v>3</v>
      </c>
      <c r="P451" s="1" t="s">
        <v>20</v>
      </c>
      <c r="Q451" s="1">
        <v>17</v>
      </c>
      <c r="R451" s="1" t="s">
        <v>20</v>
      </c>
      <c r="S451" s="1" t="s">
        <v>30</v>
      </c>
      <c r="T451" s="1">
        <v>20</v>
      </c>
      <c r="U451" s="3" t="s">
        <v>36</v>
      </c>
    </row>
    <row r="452" spans="1:21" x14ac:dyDescent="0.25">
      <c r="A452" s="2" t="s">
        <v>489</v>
      </c>
      <c r="B452" s="1">
        <v>30</v>
      </c>
      <c r="C452" s="14">
        <f t="shared" si="42"/>
        <v>30</v>
      </c>
      <c r="D452" s="1" t="s">
        <v>16</v>
      </c>
      <c r="E452" s="1" t="s">
        <v>29</v>
      </c>
      <c r="F452" s="1" t="s">
        <v>35</v>
      </c>
      <c r="G452" s="1" t="str">
        <f t="shared" si="43"/>
        <v>Manager</v>
      </c>
      <c r="H452" s="1">
        <v>19999</v>
      </c>
      <c r="I452" s="1">
        <f t="shared" si="44"/>
        <v>19999</v>
      </c>
      <c r="J452" s="1">
        <v>5</v>
      </c>
      <c r="K452" s="14">
        <f t="shared" si="45"/>
        <v>5</v>
      </c>
      <c r="L452" s="1">
        <v>5</v>
      </c>
      <c r="M452" s="1">
        <f t="shared" si="46"/>
        <v>5</v>
      </c>
      <c r="N452" s="1">
        <v>5</v>
      </c>
      <c r="O452" s="1">
        <f t="shared" si="47"/>
        <v>5</v>
      </c>
      <c r="P452" s="1" t="s">
        <v>19</v>
      </c>
      <c r="Q452" s="1">
        <v>6</v>
      </c>
      <c r="R452" s="1" t="s">
        <v>20</v>
      </c>
      <c r="S452" s="1" t="s">
        <v>26</v>
      </c>
      <c r="T452" s="1">
        <v>45</v>
      </c>
      <c r="U452" s="3" t="s">
        <v>36</v>
      </c>
    </row>
    <row r="453" spans="1:21" x14ac:dyDescent="0.25">
      <c r="A453" s="2" t="s">
        <v>490</v>
      </c>
      <c r="B453" s="1">
        <v>30</v>
      </c>
      <c r="C453" s="14">
        <f t="shared" si="42"/>
        <v>30</v>
      </c>
      <c r="D453" s="1" t="s">
        <v>28</v>
      </c>
      <c r="E453" s="1" t="s">
        <v>24</v>
      </c>
      <c r="F453" s="1" t="s">
        <v>41</v>
      </c>
      <c r="G453" s="1" t="str">
        <f t="shared" si="43"/>
        <v>Executive</v>
      </c>
      <c r="H453" s="1">
        <v>40449</v>
      </c>
      <c r="I453" s="1">
        <f t="shared" si="44"/>
        <v>40449</v>
      </c>
      <c r="J453" s="1">
        <v>1</v>
      </c>
      <c r="K453" s="14">
        <f t="shared" si="45"/>
        <v>1</v>
      </c>
      <c r="L453" s="1">
        <v>3</v>
      </c>
      <c r="M453" s="1">
        <f t="shared" si="46"/>
        <v>3</v>
      </c>
      <c r="N453" s="1">
        <v>5</v>
      </c>
      <c r="O453" s="1">
        <f t="shared" si="47"/>
        <v>5</v>
      </c>
      <c r="P453" s="1" t="s">
        <v>20</v>
      </c>
      <c r="Q453" s="1">
        <v>17</v>
      </c>
      <c r="R453" s="1" t="s">
        <v>20</v>
      </c>
      <c r="S453" s="1" t="s">
        <v>21</v>
      </c>
      <c r="T453" s="1">
        <v>21</v>
      </c>
      <c r="U453" s="3" t="s">
        <v>22</v>
      </c>
    </row>
    <row r="454" spans="1:21" x14ac:dyDescent="0.25">
      <c r="A454" s="2" t="s">
        <v>491</v>
      </c>
      <c r="B454" s="1">
        <v>51</v>
      </c>
      <c r="C454" s="14">
        <f t="shared" si="42"/>
        <v>51</v>
      </c>
      <c r="D454" s="1" t="s">
        <v>16</v>
      </c>
      <c r="E454" s="1" t="s">
        <v>40</v>
      </c>
      <c r="F454" s="1" t="s">
        <v>33</v>
      </c>
      <c r="G454" s="1" t="str">
        <f t="shared" si="43"/>
        <v>Engineer</v>
      </c>
      <c r="H454" s="1">
        <v>25051</v>
      </c>
      <c r="I454" s="1">
        <f t="shared" si="44"/>
        <v>25051</v>
      </c>
      <c r="J454" s="1">
        <v>1</v>
      </c>
      <c r="K454" s="14">
        <f t="shared" si="45"/>
        <v>1</v>
      </c>
      <c r="L454" s="1">
        <v>4</v>
      </c>
      <c r="M454" s="1">
        <f t="shared" si="46"/>
        <v>4</v>
      </c>
      <c r="N454" s="1">
        <v>4</v>
      </c>
      <c r="O454" s="1">
        <f t="shared" si="47"/>
        <v>4</v>
      </c>
      <c r="P454" s="1" t="s">
        <v>19</v>
      </c>
      <c r="Q454" s="1">
        <v>19</v>
      </c>
      <c r="R454" s="1" t="s">
        <v>20</v>
      </c>
      <c r="S454" s="1" t="s">
        <v>26</v>
      </c>
      <c r="T454" s="1">
        <v>50</v>
      </c>
      <c r="U454" s="3" t="s">
        <v>36</v>
      </c>
    </row>
    <row r="455" spans="1:21" x14ac:dyDescent="0.25">
      <c r="A455" s="2" t="s">
        <v>492</v>
      </c>
      <c r="B455" s="1">
        <v>42</v>
      </c>
      <c r="C455" s="14">
        <f t="shared" si="42"/>
        <v>42</v>
      </c>
      <c r="D455" s="1" t="s">
        <v>16</v>
      </c>
      <c r="E455" s="1" t="s">
        <v>17</v>
      </c>
      <c r="F455" s="1" t="s">
        <v>566</v>
      </c>
      <c r="G455" s="1" t="str">
        <f t="shared" si="43"/>
        <v>Lead</v>
      </c>
      <c r="H455" s="1">
        <v>87924</v>
      </c>
      <c r="I455" s="1">
        <f t="shared" si="44"/>
        <v>87924</v>
      </c>
      <c r="J455" s="1"/>
      <c r="K455" s="14">
        <f t="shared" si="45"/>
        <v>3</v>
      </c>
      <c r="L455" s="1">
        <v>4</v>
      </c>
      <c r="M455" s="1">
        <f t="shared" si="46"/>
        <v>4</v>
      </c>
      <c r="N455" s="1">
        <v>5</v>
      </c>
      <c r="O455" s="1">
        <f t="shared" si="47"/>
        <v>5</v>
      </c>
      <c r="P455" s="1" t="s">
        <v>19</v>
      </c>
      <c r="Q455" s="1">
        <v>2</v>
      </c>
      <c r="R455" s="1" t="s">
        <v>20</v>
      </c>
      <c r="S455" s="1" t="s">
        <v>21</v>
      </c>
      <c r="T455" s="1">
        <v>63</v>
      </c>
      <c r="U455" s="3" t="s">
        <v>36</v>
      </c>
    </row>
    <row r="456" spans="1:21" x14ac:dyDescent="0.25">
      <c r="A456" s="2" t="s">
        <v>493</v>
      </c>
      <c r="B456" s="1">
        <v>50</v>
      </c>
      <c r="C456" s="14">
        <f t="shared" si="42"/>
        <v>50</v>
      </c>
      <c r="D456" s="1" t="s">
        <v>28</v>
      </c>
      <c r="E456" s="1" t="s">
        <v>51</v>
      </c>
      <c r="F456" s="1" t="s">
        <v>41</v>
      </c>
      <c r="G456" s="1" t="str">
        <f t="shared" si="43"/>
        <v>Executive</v>
      </c>
      <c r="H456" s="1">
        <v>36837</v>
      </c>
      <c r="I456" s="1">
        <f t="shared" si="44"/>
        <v>36837</v>
      </c>
      <c r="J456" s="1">
        <v>5</v>
      </c>
      <c r="K456" s="14">
        <f t="shared" si="45"/>
        <v>5</v>
      </c>
      <c r="L456" s="1">
        <v>3</v>
      </c>
      <c r="M456" s="1">
        <f t="shared" si="46"/>
        <v>3</v>
      </c>
      <c r="N456" s="1">
        <v>3</v>
      </c>
      <c r="O456" s="1">
        <f t="shared" si="47"/>
        <v>3</v>
      </c>
      <c r="P456" s="1" t="s">
        <v>20</v>
      </c>
      <c r="Q456" s="1">
        <v>5</v>
      </c>
      <c r="R456" s="1" t="s">
        <v>20</v>
      </c>
      <c r="S456" s="1" t="s">
        <v>30</v>
      </c>
      <c r="T456" s="1">
        <v>63</v>
      </c>
      <c r="U456" s="3" t="s">
        <v>42</v>
      </c>
    </row>
    <row r="457" spans="1:21" x14ac:dyDescent="0.25">
      <c r="A457" s="2" t="s">
        <v>494</v>
      </c>
      <c r="B457" s="1">
        <v>22</v>
      </c>
      <c r="C457" s="14">
        <f t="shared" si="42"/>
        <v>22</v>
      </c>
      <c r="D457" s="1" t="s">
        <v>16</v>
      </c>
      <c r="E457" s="1" t="s">
        <v>49</v>
      </c>
      <c r="F457" s="1" t="s">
        <v>35</v>
      </c>
      <c r="G457" s="1" t="str">
        <f t="shared" si="43"/>
        <v>Manager</v>
      </c>
      <c r="H457" s="1"/>
      <c r="I457" s="1">
        <f t="shared" si="44"/>
        <v>68925</v>
      </c>
      <c r="J457" s="1">
        <v>4</v>
      </c>
      <c r="K457" s="14">
        <f t="shared" si="45"/>
        <v>4</v>
      </c>
      <c r="L457" s="1">
        <v>4</v>
      </c>
      <c r="M457" s="1">
        <f t="shared" si="46"/>
        <v>4</v>
      </c>
      <c r="N457" s="1">
        <v>2</v>
      </c>
      <c r="O457" s="1">
        <f t="shared" si="47"/>
        <v>2</v>
      </c>
      <c r="P457" s="1" t="s">
        <v>20</v>
      </c>
      <c r="Q457" s="1">
        <v>11</v>
      </c>
      <c r="R457" s="1" t="s">
        <v>19</v>
      </c>
      <c r="S457" s="1" t="s">
        <v>26</v>
      </c>
      <c r="T457" s="1">
        <v>18</v>
      </c>
      <c r="U457" s="3" t="s">
        <v>42</v>
      </c>
    </row>
    <row r="458" spans="1:21" x14ac:dyDescent="0.25">
      <c r="A458" s="2" t="s">
        <v>495</v>
      </c>
      <c r="B458" s="1">
        <v>27</v>
      </c>
      <c r="C458" s="14">
        <f t="shared" si="42"/>
        <v>27</v>
      </c>
      <c r="D458" s="1" t="s">
        <v>28</v>
      </c>
      <c r="E458" s="1" t="s">
        <v>24</v>
      </c>
      <c r="F458" s="1" t="s">
        <v>565</v>
      </c>
      <c r="G458" s="1" t="str">
        <f t="shared" si="43"/>
        <v>Lead</v>
      </c>
      <c r="H458" s="1">
        <v>27296</v>
      </c>
      <c r="I458" s="1">
        <f t="shared" si="44"/>
        <v>27296</v>
      </c>
      <c r="J458" s="1">
        <v>3</v>
      </c>
      <c r="K458" s="14">
        <f t="shared" si="45"/>
        <v>3</v>
      </c>
      <c r="L458" s="1">
        <v>5</v>
      </c>
      <c r="M458" s="1">
        <f t="shared" si="46"/>
        <v>5</v>
      </c>
      <c r="N458" s="1"/>
      <c r="O458" s="1">
        <f t="shared" si="47"/>
        <v>3</v>
      </c>
      <c r="P458" s="1" t="s">
        <v>20</v>
      </c>
      <c r="Q458" s="1">
        <v>18</v>
      </c>
      <c r="R458" s="1" t="s">
        <v>20</v>
      </c>
      <c r="S458" s="1" t="s">
        <v>21</v>
      </c>
      <c r="T458" s="1">
        <v>36</v>
      </c>
      <c r="U458" s="3" t="s">
        <v>31</v>
      </c>
    </row>
    <row r="459" spans="1:21" x14ac:dyDescent="0.25">
      <c r="A459" s="2" t="s">
        <v>496</v>
      </c>
      <c r="B459" s="1">
        <v>31</v>
      </c>
      <c r="C459" s="14">
        <f t="shared" si="42"/>
        <v>31</v>
      </c>
      <c r="D459" s="1" t="s">
        <v>28</v>
      </c>
      <c r="E459" s="1" t="s">
        <v>49</v>
      </c>
      <c r="F459" s="1" t="s">
        <v>564</v>
      </c>
      <c r="G459" s="1" t="str">
        <f t="shared" si="43"/>
        <v>Manageer</v>
      </c>
      <c r="H459" s="1">
        <v>62658</v>
      </c>
      <c r="I459" s="1">
        <f t="shared" si="44"/>
        <v>62658</v>
      </c>
      <c r="J459" s="1">
        <v>2</v>
      </c>
      <c r="K459" s="14">
        <f t="shared" si="45"/>
        <v>2</v>
      </c>
      <c r="L459" s="1">
        <v>5</v>
      </c>
      <c r="M459" s="1">
        <f t="shared" si="46"/>
        <v>5</v>
      </c>
      <c r="N459" s="1">
        <v>4</v>
      </c>
      <c r="O459" s="1">
        <f t="shared" si="47"/>
        <v>4</v>
      </c>
      <c r="P459" s="1" t="s">
        <v>20</v>
      </c>
      <c r="Q459" s="1">
        <v>18</v>
      </c>
      <c r="R459" s="1" t="s">
        <v>20</v>
      </c>
      <c r="S459" s="1" t="s">
        <v>26</v>
      </c>
      <c r="T459" s="1">
        <v>35</v>
      </c>
      <c r="U459" s="3" t="s">
        <v>44</v>
      </c>
    </row>
    <row r="460" spans="1:21" x14ac:dyDescent="0.25">
      <c r="A460" s="2" t="s">
        <v>497</v>
      </c>
      <c r="B460" s="1">
        <v>25</v>
      </c>
      <c r="C460" s="14">
        <f t="shared" si="42"/>
        <v>25</v>
      </c>
      <c r="D460" s="1" t="s">
        <v>28</v>
      </c>
      <c r="E460" s="1" t="s">
        <v>40</v>
      </c>
      <c r="F460" s="1" t="s">
        <v>25</v>
      </c>
      <c r="G460" s="1" t="str">
        <f t="shared" si="43"/>
        <v>Associate</v>
      </c>
      <c r="H460" s="1">
        <v>96128</v>
      </c>
      <c r="I460" s="1">
        <f t="shared" si="44"/>
        <v>96128</v>
      </c>
      <c r="J460" s="1">
        <v>4</v>
      </c>
      <c r="K460" s="14">
        <f t="shared" si="45"/>
        <v>4</v>
      </c>
      <c r="L460" s="1">
        <v>3</v>
      </c>
      <c r="M460" s="1">
        <f t="shared" si="46"/>
        <v>3</v>
      </c>
      <c r="N460" s="1">
        <v>5</v>
      </c>
      <c r="O460" s="1">
        <f t="shared" si="47"/>
        <v>5</v>
      </c>
      <c r="P460" s="1" t="s">
        <v>19</v>
      </c>
      <c r="Q460" s="1">
        <v>14</v>
      </c>
      <c r="R460" s="1" t="s">
        <v>19</v>
      </c>
      <c r="S460" s="1" t="s">
        <v>30</v>
      </c>
      <c r="T460" s="1">
        <v>56</v>
      </c>
      <c r="U460" s="3" t="s">
        <v>22</v>
      </c>
    </row>
    <row r="461" spans="1:21" x14ac:dyDescent="0.25">
      <c r="A461" s="2" t="s">
        <v>498</v>
      </c>
      <c r="B461" s="1">
        <v>27</v>
      </c>
      <c r="C461" s="14">
        <f t="shared" si="42"/>
        <v>27</v>
      </c>
      <c r="D461" s="1" t="s">
        <v>28</v>
      </c>
      <c r="E461" s="1" t="s">
        <v>29</v>
      </c>
      <c r="F461" s="1" t="s">
        <v>33</v>
      </c>
      <c r="G461" s="1" t="str">
        <f t="shared" si="43"/>
        <v>Engineer</v>
      </c>
      <c r="H461" s="1">
        <v>102540</v>
      </c>
      <c r="I461" s="1">
        <f t="shared" si="44"/>
        <v>102540</v>
      </c>
      <c r="J461" s="1">
        <v>1</v>
      </c>
      <c r="K461" s="14">
        <f t="shared" si="45"/>
        <v>1</v>
      </c>
      <c r="L461" s="1"/>
      <c r="M461" s="1">
        <f t="shared" si="46"/>
        <v>3</v>
      </c>
      <c r="N461" s="1">
        <v>2</v>
      </c>
      <c r="O461" s="1">
        <f t="shared" si="47"/>
        <v>2</v>
      </c>
      <c r="P461" s="1" t="s">
        <v>19</v>
      </c>
      <c r="Q461" s="1">
        <v>18</v>
      </c>
      <c r="R461" s="1" t="s">
        <v>19</v>
      </c>
      <c r="S461" s="1" t="s">
        <v>21</v>
      </c>
      <c r="T461" s="1">
        <v>24</v>
      </c>
      <c r="U461" s="3" t="s">
        <v>42</v>
      </c>
    </row>
    <row r="462" spans="1:21" x14ac:dyDescent="0.25">
      <c r="A462" s="2" t="s">
        <v>499</v>
      </c>
      <c r="B462" s="1">
        <v>55</v>
      </c>
      <c r="C462" s="14">
        <f t="shared" si="42"/>
        <v>55</v>
      </c>
      <c r="D462" s="1" t="s">
        <v>28</v>
      </c>
      <c r="E462" s="1" t="s">
        <v>49</v>
      </c>
      <c r="F462" s="1" t="s">
        <v>25</v>
      </c>
      <c r="G462" s="1" t="str">
        <f t="shared" si="43"/>
        <v>Associate</v>
      </c>
      <c r="H462" s="1">
        <v>93750</v>
      </c>
      <c r="I462" s="1">
        <f t="shared" si="44"/>
        <v>93750</v>
      </c>
      <c r="J462" s="1">
        <v>4</v>
      </c>
      <c r="K462" s="14">
        <f t="shared" si="45"/>
        <v>4</v>
      </c>
      <c r="L462" s="1">
        <v>2</v>
      </c>
      <c r="M462" s="1">
        <f t="shared" si="46"/>
        <v>2</v>
      </c>
      <c r="N462" s="1">
        <v>2</v>
      </c>
      <c r="O462" s="1">
        <f t="shared" si="47"/>
        <v>2</v>
      </c>
      <c r="P462" s="1" t="s">
        <v>20</v>
      </c>
      <c r="Q462" s="1">
        <v>9</v>
      </c>
      <c r="R462" s="1" t="s">
        <v>20</v>
      </c>
      <c r="S462" s="1" t="s">
        <v>30</v>
      </c>
      <c r="T462" s="1">
        <v>49</v>
      </c>
      <c r="U462" s="3" t="s">
        <v>22</v>
      </c>
    </row>
    <row r="463" spans="1:21" x14ac:dyDescent="0.25">
      <c r="A463" s="2" t="s">
        <v>500</v>
      </c>
      <c r="B463" s="1">
        <v>58</v>
      </c>
      <c r="C463" s="14">
        <f t="shared" si="42"/>
        <v>58</v>
      </c>
      <c r="D463" s="1" t="s">
        <v>16</v>
      </c>
      <c r="E463" s="1" t="s">
        <v>24</v>
      </c>
      <c r="F463" s="1" t="s">
        <v>25</v>
      </c>
      <c r="G463" s="1" t="str">
        <f t="shared" si="43"/>
        <v>Associate</v>
      </c>
      <c r="H463" s="1">
        <v>70978</v>
      </c>
      <c r="I463" s="1">
        <f t="shared" si="44"/>
        <v>70978</v>
      </c>
      <c r="J463" s="1">
        <v>2</v>
      </c>
      <c r="K463" s="14">
        <f t="shared" si="45"/>
        <v>2</v>
      </c>
      <c r="L463" s="1">
        <v>3</v>
      </c>
      <c r="M463" s="1">
        <f t="shared" si="46"/>
        <v>3</v>
      </c>
      <c r="N463" s="1">
        <v>1</v>
      </c>
      <c r="O463" s="1">
        <f t="shared" si="47"/>
        <v>1</v>
      </c>
      <c r="P463" s="1" t="s">
        <v>20</v>
      </c>
      <c r="Q463" s="1">
        <v>17</v>
      </c>
      <c r="R463" s="1" t="s">
        <v>19</v>
      </c>
      <c r="S463" s="1" t="s">
        <v>21</v>
      </c>
      <c r="T463" s="1">
        <v>76</v>
      </c>
      <c r="U463" s="3" t="s">
        <v>36</v>
      </c>
    </row>
    <row r="464" spans="1:21" x14ac:dyDescent="0.25">
      <c r="A464" s="2" t="s">
        <v>501</v>
      </c>
      <c r="B464" s="1">
        <v>28</v>
      </c>
      <c r="C464" s="14">
        <f t="shared" si="42"/>
        <v>28</v>
      </c>
      <c r="D464" s="1" t="s">
        <v>28</v>
      </c>
      <c r="E464" s="1" t="s">
        <v>40</v>
      </c>
      <c r="F464" s="1" t="s">
        <v>563</v>
      </c>
      <c r="G464" s="1" t="str">
        <f t="shared" si="43"/>
        <v>Execuyive</v>
      </c>
      <c r="H464" s="1">
        <v>74585</v>
      </c>
      <c r="I464" s="1">
        <f t="shared" si="44"/>
        <v>74585</v>
      </c>
      <c r="J464" s="1">
        <v>5</v>
      </c>
      <c r="K464" s="14">
        <f t="shared" si="45"/>
        <v>5</v>
      </c>
      <c r="L464" s="1">
        <v>4</v>
      </c>
      <c r="M464" s="1">
        <f t="shared" si="46"/>
        <v>4</v>
      </c>
      <c r="N464" s="1">
        <v>3</v>
      </c>
      <c r="O464" s="1">
        <f t="shared" si="47"/>
        <v>3</v>
      </c>
      <c r="P464" s="1" t="s">
        <v>20</v>
      </c>
      <c r="Q464" s="1">
        <v>12</v>
      </c>
      <c r="R464" s="1" t="s">
        <v>20</v>
      </c>
      <c r="S464" s="1" t="s">
        <v>30</v>
      </c>
      <c r="T464" s="1">
        <v>74</v>
      </c>
      <c r="U464" s="3" t="s">
        <v>44</v>
      </c>
    </row>
    <row r="465" spans="1:21" x14ac:dyDescent="0.25">
      <c r="A465" s="2" t="s">
        <v>502</v>
      </c>
      <c r="B465" s="1"/>
      <c r="C465" s="14">
        <f t="shared" si="42"/>
        <v>39</v>
      </c>
      <c r="D465" s="1" t="s">
        <v>28</v>
      </c>
      <c r="E465" s="1" t="s">
        <v>51</v>
      </c>
      <c r="F465" s="1" t="s">
        <v>41</v>
      </c>
      <c r="G465" s="1" t="str">
        <f t="shared" si="43"/>
        <v>Executive</v>
      </c>
      <c r="H465" s="1">
        <v>90800</v>
      </c>
      <c r="I465" s="1">
        <f t="shared" si="44"/>
        <v>90800</v>
      </c>
      <c r="J465" s="1">
        <v>4</v>
      </c>
      <c r="K465" s="14">
        <f t="shared" si="45"/>
        <v>4</v>
      </c>
      <c r="L465" s="1">
        <v>3</v>
      </c>
      <c r="M465" s="1">
        <f t="shared" si="46"/>
        <v>3</v>
      </c>
      <c r="N465" s="1">
        <v>4</v>
      </c>
      <c r="O465" s="1">
        <f t="shared" si="47"/>
        <v>4</v>
      </c>
      <c r="P465" s="1" t="s">
        <v>19</v>
      </c>
      <c r="Q465" s="1">
        <v>9</v>
      </c>
      <c r="R465" s="1" t="s">
        <v>19</v>
      </c>
      <c r="S465" s="1" t="s">
        <v>21</v>
      </c>
      <c r="T465" s="1">
        <v>6</v>
      </c>
      <c r="U465" s="3" t="s">
        <v>22</v>
      </c>
    </row>
    <row r="466" spans="1:21" x14ac:dyDescent="0.25">
      <c r="A466" s="2" t="s">
        <v>503</v>
      </c>
      <c r="B466" s="1">
        <v>22</v>
      </c>
      <c r="C466" s="14">
        <f t="shared" si="42"/>
        <v>22</v>
      </c>
      <c r="D466" s="1" t="s">
        <v>16</v>
      </c>
      <c r="E466" s="1" t="s">
        <v>17</v>
      </c>
      <c r="F466" s="1" t="s">
        <v>567</v>
      </c>
      <c r="G466" s="1" t="str">
        <f t="shared" si="43"/>
        <v>Engineer</v>
      </c>
      <c r="H466" s="1">
        <v>104235</v>
      </c>
      <c r="I466" s="1">
        <f t="shared" si="44"/>
        <v>104235</v>
      </c>
      <c r="J466" s="1">
        <v>4</v>
      </c>
      <c r="K466" s="14">
        <f t="shared" si="45"/>
        <v>4</v>
      </c>
      <c r="L466" s="1">
        <v>2</v>
      </c>
      <c r="M466" s="1">
        <f t="shared" si="46"/>
        <v>2</v>
      </c>
      <c r="N466" s="1">
        <v>1</v>
      </c>
      <c r="O466" s="1">
        <f t="shared" si="47"/>
        <v>1</v>
      </c>
      <c r="P466" s="1" t="s">
        <v>19</v>
      </c>
      <c r="Q466" s="1">
        <v>20</v>
      </c>
      <c r="R466" s="1" t="s">
        <v>20</v>
      </c>
      <c r="S466" s="1" t="s">
        <v>30</v>
      </c>
      <c r="T466" s="1">
        <v>59</v>
      </c>
      <c r="U466" s="3" t="s">
        <v>31</v>
      </c>
    </row>
    <row r="467" spans="1:21" x14ac:dyDescent="0.25">
      <c r="A467" s="2" t="s">
        <v>504</v>
      </c>
      <c r="B467" s="1">
        <v>32</v>
      </c>
      <c r="C467" s="14">
        <f t="shared" si="42"/>
        <v>32</v>
      </c>
      <c r="D467" s="1" t="s">
        <v>28</v>
      </c>
      <c r="E467" s="1" t="s">
        <v>24</v>
      </c>
      <c r="F467" s="1" t="s">
        <v>33</v>
      </c>
      <c r="G467" s="1" t="str">
        <f t="shared" si="43"/>
        <v>Engineer</v>
      </c>
      <c r="H467" s="1">
        <v>90358</v>
      </c>
      <c r="I467" s="1">
        <f t="shared" si="44"/>
        <v>90358</v>
      </c>
      <c r="J467" s="1">
        <v>4</v>
      </c>
      <c r="K467" s="14">
        <f t="shared" si="45"/>
        <v>4</v>
      </c>
      <c r="L467" s="1">
        <v>4</v>
      </c>
      <c r="M467" s="1">
        <f t="shared" si="46"/>
        <v>4</v>
      </c>
      <c r="N467" s="1">
        <v>3</v>
      </c>
      <c r="O467" s="1">
        <f t="shared" si="47"/>
        <v>3</v>
      </c>
      <c r="P467" s="1" t="s">
        <v>19</v>
      </c>
      <c r="Q467" s="1">
        <v>5</v>
      </c>
      <c r="R467" s="1" t="s">
        <v>20</v>
      </c>
      <c r="S467" s="1" t="s">
        <v>26</v>
      </c>
      <c r="T467" s="1">
        <v>5</v>
      </c>
      <c r="U467" s="3" t="s">
        <v>31</v>
      </c>
    </row>
    <row r="468" spans="1:21" x14ac:dyDescent="0.25">
      <c r="A468" s="2" t="s">
        <v>505</v>
      </c>
      <c r="B468" s="1">
        <v>52</v>
      </c>
      <c r="C468" s="14">
        <f t="shared" si="42"/>
        <v>52</v>
      </c>
      <c r="D468" s="1" t="s">
        <v>16</v>
      </c>
      <c r="E468" s="1" t="s">
        <v>17</v>
      </c>
      <c r="F468" s="1" t="s">
        <v>25</v>
      </c>
      <c r="G468" s="1" t="str">
        <f t="shared" si="43"/>
        <v>Associate</v>
      </c>
      <c r="H468" s="1">
        <v>53291</v>
      </c>
      <c r="I468" s="1">
        <f t="shared" si="44"/>
        <v>53291</v>
      </c>
      <c r="J468" s="1">
        <v>4</v>
      </c>
      <c r="K468" s="14">
        <f t="shared" si="45"/>
        <v>4</v>
      </c>
      <c r="L468" s="1">
        <v>5</v>
      </c>
      <c r="M468" s="1">
        <f t="shared" si="46"/>
        <v>5</v>
      </c>
      <c r="N468" s="1">
        <v>5</v>
      </c>
      <c r="O468" s="1">
        <f t="shared" si="47"/>
        <v>5</v>
      </c>
      <c r="P468" s="1" t="s">
        <v>20</v>
      </c>
      <c r="Q468" s="1">
        <v>1</v>
      </c>
      <c r="R468" s="1" t="s">
        <v>19</v>
      </c>
      <c r="S468" s="1" t="s">
        <v>26</v>
      </c>
      <c r="T468" s="1">
        <v>66</v>
      </c>
      <c r="U468" s="3" t="s">
        <v>36</v>
      </c>
    </row>
    <row r="469" spans="1:21" x14ac:dyDescent="0.25">
      <c r="A469" s="2" t="s">
        <v>506</v>
      </c>
      <c r="B469" s="1">
        <v>28</v>
      </c>
      <c r="C469" s="14">
        <f t="shared" si="42"/>
        <v>28</v>
      </c>
      <c r="D469" s="1" t="s">
        <v>28</v>
      </c>
      <c r="E469" s="1" t="s">
        <v>17</v>
      </c>
      <c r="F469" s="1" t="s">
        <v>35</v>
      </c>
      <c r="G469" s="1" t="str">
        <f t="shared" si="43"/>
        <v>Manager</v>
      </c>
      <c r="H469" s="1">
        <v>36623</v>
      </c>
      <c r="I469" s="1">
        <f t="shared" si="44"/>
        <v>36623</v>
      </c>
      <c r="J469" s="1">
        <v>5</v>
      </c>
      <c r="K469" s="14">
        <f t="shared" si="45"/>
        <v>5</v>
      </c>
      <c r="L469" s="1">
        <v>3</v>
      </c>
      <c r="M469" s="1">
        <f t="shared" si="46"/>
        <v>3</v>
      </c>
      <c r="N469" s="1"/>
      <c r="O469" s="1">
        <f t="shared" si="47"/>
        <v>3</v>
      </c>
      <c r="P469" s="1" t="s">
        <v>19</v>
      </c>
      <c r="Q469" s="1">
        <v>16</v>
      </c>
      <c r="R469" s="1" t="s">
        <v>19</v>
      </c>
      <c r="S469" s="1" t="s">
        <v>21</v>
      </c>
      <c r="T469" s="1">
        <v>65</v>
      </c>
      <c r="U469" s="3" t="s">
        <v>22</v>
      </c>
    </row>
    <row r="470" spans="1:21" x14ac:dyDescent="0.25">
      <c r="A470" s="2" t="s">
        <v>507</v>
      </c>
      <c r="B470" s="1">
        <v>55</v>
      </c>
      <c r="C470" s="14">
        <f t="shared" si="42"/>
        <v>55</v>
      </c>
      <c r="D470" s="1" t="s">
        <v>28</v>
      </c>
      <c r="E470" s="1" t="s">
        <v>24</v>
      </c>
      <c r="F470" s="1" t="s">
        <v>35</v>
      </c>
      <c r="G470" s="1" t="str">
        <f t="shared" si="43"/>
        <v>Manager</v>
      </c>
      <c r="H470" s="1">
        <v>63029</v>
      </c>
      <c r="I470" s="1">
        <f t="shared" si="44"/>
        <v>63029</v>
      </c>
      <c r="J470" s="1">
        <v>5</v>
      </c>
      <c r="K470" s="14">
        <f t="shared" si="45"/>
        <v>5</v>
      </c>
      <c r="L470" s="1">
        <v>1</v>
      </c>
      <c r="M470" s="1">
        <f t="shared" si="46"/>
        <v>1</v>
      </c>
      <c r="N470" s="1">
        <v>4</v>
      </c>
      <c r="O470" s="1">
        <f t="shared" si="47"/>
        <v>4</v>
      </c>
      <c r="P470" s="1" t="s">
        <v>20</v>
      </c>
      <c r="Q470" s="1">
        <v>16</v>
      </c>
      <c r="R470" s="1" t="s">
        <v>20</v>
      </c>
      <c r="S470" s="1" t="s">
        <v>26</v>
      </c>
      <c r="T470" s="1">
        <v>47</v>
      </c>
      <c r="U470" s="3" t="s">
        <v>42</v>
      </c>
    </row>
    <row r="471" spans="1:21" x14ac:dyDescent="0.25">
      <c r="A471" s="2" t="s">
        <v>508</v>
      </c>
      <c r="B471" s="1">
        <v>43</v>
      </c>
      <c r="C471" s="14">
        <f t="shared" si="42"/>
        <v>43</v>
      </c>
      <c r="D471" s="1" t="s">
        <v>28</v>
      </c>
      <c r="E471" s="1" t="s">
        <v>29</v>
      </c>
      <c r="F471" s="1" t="s">
        <v>41</v>
      </c>
      <c r="G471" s="1" t="str">
        <f t="shared" si="43"/>
        <v>Executive</v>
      </c>
      <c r="H471" s="1">
        <v>22630</v>
      </c>
      <c r="I471" s="1">
        <f t="shared" si="44"/>
        <v>22630</v>
      </c>
      <c r="J471" s="1">
        <v>5</v>
      </c>
      <c r="K471" s="14">
        <f t="shared" si="45"/>
        <v>5</v>
      </c>
      <c r="L471" s="1">
        <v>3</v>
      </c>
      <c r="M471" s="1">
        <f t="shared" si="46"/>
        <v>3</v>
      </c>
      <c r="N471" s="1">
        <v>5</v>
      </c>
      <c r="O471" s="1">
        <f t="shared" si="47"/>
        <v>5</v>
      </c>
      <c r="P471" s="1" t="s">
        <v>20</v>
      </c>
      <c r="Q471" s="1">
        <v>1</v>
      </c>
      <c r="R471" s="1" t="s">
        <v>20</v>
      </c>
      <c r="S471" s="1" t="s">
        <v>26</v>
      </c>
      <c r="T471" s="1">
        <v>26</v>
      </c>
      <c r="U471" s="3" t="s">
        <v>31</v>
      </c>
    </row>
    <row r="472" spans="1:21" x14ac:dyDescent="0.25">
      <c r="A472" s="2" t="s">
        <v>509</v>
      </c>
      <c r="B472" s="1">
        <v>24</v>
      </c>
      <c r="C472" s="14">
        <f t="shared" si="42"/>
        <v>24</v>
      </c>
      <c r="D472" s="1" t="s">
        <v>28</v>
      </c>
      <c r="E472" s="1" t="s">
        <v>17</v>
      </c>
      <c r="F472" s="1" t="s">
        <v>25</v>
      </c>
      <c r="G472" s="1" t="str">
        <f t="shared" si="43"/>
        <v>Associate</v>
      </c>
      <c r="H472" s="1">
        <v>21578</v>
      </c>
      <c r="I472" s="1">
        <f t="shared" si="44"/>
        <v>21578</v>
      </c>
      <c r="J472" s="1">
        <v>3</v>
      </c>
      <c r="K472" s="14">
        <f t="shared" si="45"/>
        <v>3</v>
      </c>
      <c r="L472" s="1">
        <v>4</v>
      </c>
      <c r="M472" s="1">
        <f t="shared" si="46"/>
        <v>4</v>
      </c>
      <c r="N472" s="1">
        <v>1</v>
      </c>
      <c r="O472" s="1">
        <f t="shared" si="47"/>
        <v>1</v>
      </c>
      <c r="P472" s="1" t="s">
        <v>19</v>
      </c>
      <c r="Q472" s="1">
        <v>16</v>
      </c>
      <c r="R472" s="1" t="s">
        <v>19</v>
      </c>
      <c r="S472" s="1" t="s">
        <v>30</v>
      </c>
      <c r="T472" s="1">
        <v>37</v>
      </c>
      <c r="U472" s="3" t="s">
        <v>44</v>
      </c>
    </row>
    <row r="473" spans="1:21" x14ac:dyDescent="0.25">
      <c r="A473" s="2" t="s">
        <v>510</v>
      </c>
      <c r="B473" s="1">
        <v>38</v>
      </c>
      <c r="C473" s="14">
        <f t="shared" si="42"/>
        <v>38</v>
      </c>
      <c r="D473" s="1" t="s">
        <v>28</v>
      </c>
      <c r="E473" s="1" t="s">
        <v>29</v>
      </c>
      <c r="F473" s="1" t="s">
        <v>35</v>
      </c>
      <c r="G473" s="1" t="str">
        <f t="shared" si="43"/>
        <v>Manager</v>
      </c>
      <c r="H473" s="1">
        <v>115180</v>
      </c>
      <c r="I473" s="1">
        <f t="shared" si="44"/>
        <v>115180</v>
      </c>
      <c r="J473" s="1">
        <v>1</v>
      </c>
      <c r="K473" s="14">
        <f t="shared" si="45"/>
        <v>1</v>
      </c>
      <c r="L473" s="1">
        <v>5</v>
      </c>
      <c r="M473" s="1">
        <f t="shared" si="46"/>
        <v>5</v>
      </c>
      <c r="N473" s="1">
        <v>2</v>
      </c>
      <c r="O473" s="1">
        <f t="shared" si="47"/>
        <v>2</v>
      </c>
      <c r="P473" s="1" t="s">
        <v>19</v>
      </c>
      <c r="Q473" s="1">
        <v>14</v>
      </c>
      <c r="R473" s="1" t="s">
        <v>20</v>
      </c>
      <c r="S473" s="1" t="s">
        <v>21</v>
      </c>
      <c r="T473" s="1">
        <v>38</v>
      </c>
      <c r="U473" s="3" t="s">
        <v>44</v>
      </c>
    </row>
    <row r="474" spans="1:21" x14ac:dyDescent="0.25">
      <c r="A474" s="2" t="s">
        <v>511</v>
      </c>
      <c r="B474" s="1">
        <v>52</v>
      </c>
      <c r="C474" s="14">
        <f t="shared" si="42"/>
        <v>52</v>
      </c>
      <c r="D474" s="1" t="s">
        <v>16</v>
      </c>
      <c r="E474" s="1" t="s">
        <v>24</v>
      </c>
      <c r="F474" s="1" t="s">
        <v>35</v>
      </c>
      <c r="G474" s="1" t="str">
        <f t="shared" si="43"/>
        <v>Manager</v>
      </c>
      <c r="H474" s="1">
        <v>62937</v>
      </c>
      <c r="I474" s="1">
        <f t="shared" si="44"/>
        <v>62937</v>
      </c>
      <c r="J474" s="1">
        <v>1</v>
      </c>
      <c r="K474" s="14">
        <f t="shared" si="45"/>
        <v>1</v>
      </c>
      <c r="L474" s="1">
        <v>2</v>
      </c>
      <c r="M474" s="1">
        <f t="shared" si="46"/>
        <v>2</v>
      </c>
      <c r="N474" s="1">
        <v>5</v>
      </c>
      <c r="O474" s="1">
        <f t="shared" si="47"/>
        <v>5</v>
      </c>
      <c r="P474" s="1" t="s">
        <v>19</v>
      </c>
      <c r="Q474" s="1">
        <v>15</v>
      </c>
      <c r="R474" s="1" t="s">
        <v>20</v>
      </c>
      <c r="S474" s="1" t="s">
        <v>30</v>
      </c>
      <c r="T474" s="1">
        <v>35</v>
      </c>
      <c r="U474" s="3" t="s">
        <v>42</v>
      </c>
    </row>
    <row r="475" spans="1:21" x14ac:dyDescent="0.25">
      <c r="A475" s="2" t="s">
        <v>512</v>
      </c>
      <c r="B475" s="1">
        <v>31</v>
      </c>
      <c r="C475" s="14">
        <f t="shared" si="42"/>
        <v>31</v>
      </c>
      <c r="D475" s="1" t="s">
        <v>16</v>
      </c>
      <c r="E475" s="1" t="s">
        <v>24</v>
      </c>
      <c r="F475" s="1" t="s">
        <v>38</v>
      </c>
      <c r="G475" s="1" t="str">
        <f t="shared" si="43"/>
        <v>Lead</v>
      </c>
      <c r="H475" s="1">
        <v>63229</v>
      </c>
      <c r="I475" s="1">
        <f t="shared" si="44"/>
        <v>63229</v>
      </c>
      <c r="J475" s="1">
        <v>1</v>
      </c>
      <c r="K475" s="14">
        <f t="shared" si="45"/>
        <v>1</v>
      </c>
      <c r="L475" s="1">
        <v>3</v>
      </c>
      <c r="M475" s="1">
        <f t="shared" si="46"/>
        <v>3</v>
      </c>
      <c r="N475" s="1">
        <v>1</v>
      </c>
      <c r="O475" s="1">
        <f t="shared" si="47"/>
        <v>1</v>
      </c>
      <c r="P475" s="1" t="s">
        <v>19</v>
      </c>
      <c r="Q475" s="1">
        <v>5</v>
      </c>
      <c r="R475" s="1" t="s">
        <v>20</v>
      </c>
      <c r="S475" s="1" t="s">
        <v>30</v>
      </c>
      <c r="T475" s="1">
        <v>65</v>
      </c>
      <c r="U475" s="3" t="s">
        <v>36</v>
      </c>
    </row>
    <row r="476" spans="1:21" x14ac:dyDescent="0.25">
      <c r="A476" s="2" t="s">
        <v>513</v>
      </c>
      <c r="B476" s="1">
        <v>51</v>
      </c>
      <c r="C476" s="14">
        <f t="shared" si="42"/>
        <v>51</v>
      </c>
      <c r="D476" s="1" t="s">
        <v>16</v>
      </c>
      <c r="E476" s="1" t="s">
        <v>49</v>
      </c>
      <c r="F476" s="1" t="s">
        <v>38</v>
      </c>
      <c r="G476" s="1" t="str">
        <f t="shared" si="43"/>
        <v>Lead</v>
      </c>
      <c r="H476" s="1">
        <v>110485</v>
      </c>
      <c r="I476" s="1">
        <f t="shared" si="44"/>
        <v>110485</v>
      </c>
      <c r="J476" s="1">
        <v>4</v>
      </c>
      <c r="K476" s="14">
        <f t="shared" si="45"/>
        <v>4</v>
      </c>
      <c r="L476" s="1">
        <v>4</v>
      </c>
      <c r="M476" s="1">
        <f t="shared" si="46"/>
        <v>4</v>
      </c>
      <c r="N476" s="1"/>
      <c r="O476" s="1">
        <f t="shared" si="47"/>
        <v>3</v>
      </c>
      <c r="P476" s="1" t="s">
        <v>19</v>
      </c>
      <c r="Q476" s="1">
        <v>16</v>
      </c>
      <c r="R476" s="1" t="s">
        <v>20</v>
      </c>
      <c r="S476" s="1" t="s">
        <v>21</v>
      </c>
      <c r="T476" s="1">
        <v>41</v>
      </c>
      <c r="U476" s="3" t="s">
        <v>42</v>
      </c>
    </row>
    <row r="477" spans="1:21" x14ac:dyDescent="0.25">
      <c r="A477" s="2" t="s">
        <v>514</v>
      </c>
      <c r="B477" s="1">
        <v>45</v>
      </c>
      <c r="C477" s="14">
        <f t="shared" si="42"/>
        <v>45</v>
      </c>
      <c r="D477" s="1" t="s">
        <v>28</v>
      </c>
      <c r="E477" s="1" t="s">
        <v>24</v>
      </c>
      <c r="F477" s="1" t="s">
        <v>38</v>
      </c>
      <c r="G477" s="1" t="str">
        <f t="shared" si="43"/>
        <v>Lead</v>
      </c>
      <c r="H477" s="1"/>
      <c r="I477" s="1">
        <f t="shared" si="44"/>
        <v>68925</v>
      </c>
      <c r="J477" s="1">
        <v>1</v>
      </c>
      <c r="K477" s="14">
        <f t="shared" si="45"/>
        <v>1</v>
      </c>
      <c r="L477" s="1">
        <v>5</v>
      </c>
      <c r="M477" s="1">
        <f t="shared" si="46"/>
        <v>5</v>
      </c>
      <c r="N477" s="1">
        <v>3</v>
      </c>
      <c r="O477" s="1">
        <f t="shared" si="47"/>
        <v>3</v>
      </c>
      <c r="P477" s="1" t="s">
        <v>20</v>
      </c>
      <c r="Q477" s="1">
        <v>19</v>
      </c>
      <c r="R477" s="1" t="s">
        <v>20</v>
      </c>
      <c r="S477" s="1" t="s">
        <v>30</v>
      </c>
      <c r="T477" s="1">
        <v>39</v>
      </c>
      <c r="U477" s="3" t="s">
        <v>36</v>
      </c>
    </row>
    <row r="478" spans="1:21" x14ac:dyDescent="0.25">
      <c r="A478" s="2" t="s">
        <v>515</v>
      </c>
      <c r="B478" s="1">
        <v>27</v>
      </c>
      <c r="C478" s="14">
        <f t="shared" si="42"/>
        <v>27</v>
      </c>
      <c r="D478" s="1" t="s">
        <v>28</v>
      </c>
      <c r="E478" s="1" t="s">
        <v>17</v>
      </c>
      <c r="F478" s="1" t="s">
        <v>25</v>
      </c>
      <c r="G478" s="1" t="str">
        <f t="shared" si="43"/>
        <v>Associate</v>
      </c>
      <c r="H478" s="1">
        <v>69269</v>
      </c>
      <c r="I478" s="1">
        <f t="shared" si="44"/>
        <v>69269</v>
      </c>
      <c r="J478" s="1">
        <v>4</v>
      </c>
      <c r="K478" s="14">
        <f t="shared" si="45"/>
        <v>4</v>
      </c>
      <c r="L478" s="1">
        <v>2</v>
      </c>
      <c r="M478" s="1">
        <f t="shared" si="46"/>
        <v>2</v>
      </c>
      <c r="N478" s="1">
        <v>5</v>
      </c>
      <c r="O478" s="1">
        <f t="shared" si="47"/>
        <v>5</v>
      </c>
      <c r="P478" s="1" t="s">
        <v>19</v>
      </c>
      <c r="Q478" s="1">
        <v>16</v>
      </c>
      <c r="R478" s="1" t="s">
        <v>20</v>
      </c>
      <c r="S478" s="1" t="s">
        <v>26</v>
      </c>
      <c r="T478" s="1">
        <v>28</v>
      </c>
      <c r="U478" s="3" t="s">
        <v>36</v>
      </c>
    </row>
    <row r="479" spans="1:21" x14ac:dyDescent="0.25">
      <c r="A479" s="2" t="s">
        <v>516</v>
      </c>
      <c r="B479" s="1">
        <v>56</v>
      </c>
      <c r="C479" s="14">
        <f t="shared" si="42"/>
        <v>56</v>
      </c>
      <c r="D479" s="1" t="s">
        <v>16</v>
      </c>
      <c r="E479" s="1" t="s">
        <v>17</v>
      </c>
      <c r="F479" s="1" t="s">
        <v>35</v>
      </c>
      <c r="G479" s="1" t="str">
        <f t="shared" si="43"/>
        <v>Manager</v>
      </c>
      <c r="H479" s="1">
        <v>26906</v>
      </c>
      <c r="I479" s="1">
        <f t="shared" si="44"/>
        <v>26906</v>
      </c>
      <c r="J479" s="1">
        <v>1</v>
      </c>
      <c r="K479" s="14">
        <f t="shared" si="45"/>
        <v>1</v>
      </c>
      <c r="L479" s="1">
        <v>4</v>
      </c>
      <c r="M479" s="1">
        <f t="shared" si="46"/>
        <v>4</v>
      </c>
      <c r="N479" s="1">
        <v>1</v>
      </c>
      <c r="O479" s="1">
        <f t="shared" si="47"/>
        <v>1</v>
      </c>
      <c r="P479" s="1" t="s">
        <v>19</v>
      </c>
      <c r="Q479" s="1">
        <v>14</v>
      </c>
      <c r="R479" s="1" t="s">
        <v>20</v>
      </c>
      <c r="S479" s="1" t="s">
        <v>21</v>
      </c>
      <c r="T479" s="1">
        <v>41</v>
      </c>
      <c r="U479" s="3" t="s">
        <v>36</v>
      </c>
    </row>
    <row r="480" spans="1:21" x14ac:dyDescent="0.25">
      <c r="A480" s="2" t="s">
        <v>517</v>
      </c>
      <c r="B480" s="1">
        <v>33</v>
      </c>
      <c r="C480" s="14">
        <f t="shared" si="42"/>
        <v>33</v>
      </c>
      <c r="D480" s="1" t="s">
        <v>16</v>
      </c>
      <c r="E480" s="1" t="s">
        <v>40</v>
      </c>
      <c r="F480" s="1" t="s">
        <v>25</v>
      </c>
      <c r="G480" s="1" t="str">
        <f t="shared" si="43"/>
        <v>Associate</v>
      </c>
      <c r="H480" s="1">
        <v>30050</v>
      </c>
      <c r="I480" s="1">
        <f t="shared" si="44"/>
        <v>30050</v>
      </c>
      <c r="J480" s="1">
        <v>1</v>
      </c>
      <c r="K480" s="14">
        <f t="shared" si="45"/>
        <v>1</v>
      </c>
      <c r="L480" s="1">
        <v>5</v>
      </c>
      <c r="M480" s="1">
        <f t="shared" si="46"/>
        <v>5</v>
      </c>
      <c r="N480" s="1">
        <v>2</v>
      </c>
      <c r="O480" s="1">
        <f t="shared" si="47"/>
        <v>2</v>
      </c>
      <c r="P480" s="1" t="s">
        <v>19</v>
      </c>
      <c r="Q480" s="1">
        <v>3</v>
      </c>
      <c r="R480" s="1" t="s">
        <v>19</v>
      </c>
      <c r="S480" s="1" t="s">
        <v>26</v>
      </c>
      <c r="T480" s="1">
        <v>21</v>
      </c>
      <c r="U480" s="3" t="s">
        <v>42</v>
      </c>
    </row>
    <row r="481" spans="1:21" x14ac:dyDescent="0.25">
      <c r="A481" s="2" t="s">
        <v>518</v>
      </c>
      <c r="B481" s="1">
        <v>57</v>
      </c>
      <c r="C481" s="14">
        <f t="shared" si="42"/>
        <v>57</v>
      </c>
      <c r="D481" s="1" t="s">
        <v>16</v>
      </c>
      <c r="E481" s="1" t="s">
        <v>40</v>
      </c>
      <c r="F481" s="1" t="s">
        <v>38</v>
      </c>
      <c r="G481" s="1" t="str">
        <f t="shared" si="43"/>
        <v>Lead</v>
      </c>
      <c r="H481" s="1">
        <v>42151</v>
      </c>
      <c r="I481" s="1">
        <f t="shared" si="44"/>
        <v>42151</v>
      </c>
      <c r="J481" s="1">
        <v>3</v>
      </c>
      <c r="K481" s="14">
        <f t="shared" si="45"/>
        <v>3</v>
      </c>
      <c r="L481" s="1">
        <v>3</v>
      </c>
      <c r="M481" s="1">
        <f t="shared" si="46"/>
        <v>3</v>
      </c>
      <c r="N481" s="1">
        <v>4</v>
      </c>
      <c r="O481" s="1">
        <f t="shared" si="47"/>
        <v>4</v>
      </c>
      <c r="P481" s="1" t="s">
        <v>19</v>
      </c>
      <c r="Q481" s="1">
        <v>20</v>
      </c>
      <c r="R481" s="1" t="s">
        <v>20</v>
      </c>
      <c r="S481" s="1" t="s">
        <v>30</v>
      </c>
      <c r="T481" s="1">
        <v>59</v>
      </c>
      <c r="U481" s="3" t="s">
        <v>36</v>
      </c>
    </row>
    <row r="482" spans="1:21" x14ac:dyDescent="0.25">
      <c r="A482" s="2" t="s">
        <v>519</v>
      </c>
      <c r="B482" s="1">
        <v>37</v>
      </c>
      <c r="C482" s="14">
        <f t="shared" si="42"/>
        <v>37</v>
      </c>
      <c r="D482" s="1" t="s">
        <v>16</v>
      </c>
      <c r="E482" s="1" t="s">
        <v>40</v>
      </c>
      <c r="F482" s="1" t="s">
        <v>18</v>
      </c>
      <c r="G482" s="1" t="str">
        <f t="shared" si="43"/>
        <v>Analyst</v>
      </c>
      <c r="H482" s="1">
        <v>119856</v>
      </c>
      <c r="I482" s="1">
        <f t="shared" si="44"/>
        <v>119856</v>
      </c>
      <c r="J482" s="1">
        <v>1</v>
      </c>
      <c r="K482" s="14">
        <f t="shared" si="45"/>
        <v>1</v>
      </c>
      <c r="L482" s="1">
        <v>4</v>
      </c>
      <c r="M482" s="1">
        <f t="shared" si="46"/>
        <v>4</v>
      </c>
      <c r="N482" s="1">
        <v>4</v>
      </c>
      <c r="O482" s="1">
        <f t="shared" si="47"/>
        <v>4</v>
      </c>
      <c r="P482" s="1" t="s">
        <v>20</v>
      </c>
      <c r="Q482" s="1">
        <v>1</v>
      </c>
      <c r="R482" s="1" t="s">
        <v>20</v>
      </c>
      <c r="S482" s="1" t="s">
        <v>30</v>
      </c>
      <c r="T482" s="1">
        <v>27</v>
      </c>
      <c r="U482" s="3" t="s">
        <v>42</v>
      </c>
    </row>
    <row r="483" spans="1:21" x14ac:dyDescent="0.25">
      <c r="A483" s="2" t="s">
        <v>520</v>
      </c>
      <c r="B483" s="1">
        <v>25</v>
      </c>
      <c r="C483" s="14">
        <f t="shared" si="42"/>
        <v>25</v>
      </c>
      <c r="D483" s="1" t="s">
        <v>28</v>
      </c>
      <c r="E483" s="1" t="s">
        <v>51</v>
      </c>
      <c r="F483" s="1" t="s">
        <v>25</v>
      </c>
      <c r="G483" s="1" t="str">
        <f t="shared" si="43"/>
        <v>Associate</v>
      </c>
      <c r="H483" s="1">
        <v>69463</v>
      </c>
      <c r="I483" s="1">
        <f t="shared" si="44"/>
        <v>69463</v>
      </c>
      <c r="J483" s="1">
        <v>2</v>
      </c>
      <c r="K483" s="14">
        <f t="shared" si="45"/>
        <v>2</v>
      </c>
      <c r="L483" s="1">
        <v>4</v>
      </c>
      <c r="M483" s="1">
        <f t="shared" si="46"/>
        <v>4</v>
      </c>
      <c r="N483" s="1">
        <v>1</v>
      </c>
      <c r="O483" s="1">
        <f t="shared" si="47"/>
        <v>1</v>
      </c>
      <c r="P483" s="1" t="s">
        <v>19</v>
      </c>
      <c r="Q483" s="1">
        <v>17</v>
      </c>
      <c r="R483" s="1" t="s">
        <v>20</v>
      </c>
      <c r="S483" s="1" t="s">
        <v>21</v>
      </c>
      <c r="T483" s="1">
        <v>18</v>
      </c>
      <c r="U483" s="3" t="s">
        <v>42</v>
      </c>
    </row>
    <row r="484" spans="1:21" x14ac:dyDescent="0.25">
      <c r="A484" s="2" t="s">
        <v>521</v>
      </c>
      <c r="B484" s="1">
        <v>37</v>
      </c>
      <c r="C484" s="14">
        <f t="shared" si="42"/>
        <v>37</v>
      </c>
      <c r="D484" s="1" t="s">
        <v>16</v>
      </c>
      <c r="E484" s="1" t="s">
        <v>40</v>
      </c>
      <c r="F484" s="1" t="s">
        <v>35</v>
      </c>
      <c r="G484" s="1" t="str">
        <f t="shared" si="43"/>
        <v>Manager</v>
      </c>
      <c r="H484" s="1">
        <v>27229</v>
      </c>
      <c r="I484" s="1">
        <f t="shared" si="44"/>
        <v>27229</v>
      </c>
      <c r="J484" s="1">
        <v>5</v>
      </c>
      <c r="K484" s="14">
        <f t="shared" si="45"/>
        <v>5</v>
      </c>
      <c r="L484" s="1">
        <v>3</v>
      </c>
      <c r="M484" s="1">
        <f t="shared" si="46"/>
        <v>3</v>
      </c>
      <c r="N484" s="1">
        <v>4</v>
      </c>
      <c r="O484" s="1">
        <f t="shared" si="47"/>
        <v>4</v>
      </c>
      <c r="P484" s="1" t="s">
        <v>19</v>
      </c>
      <c r="Q484" s="1">
        <v>15</v>
      </c>
      <c r="R484" s="1" t="s">
        <v>19</v>
      </c>
      <c r="S484" s="1" t="s">
        <v>26</v>
      </c>
      <c r="T484" s="1">
        <v>5</v>
      </c>
      <c r="U484" s="3" t="s">
        <v>22</v>
      </c>
    </row>
    <row r="485" spans="1:21" x14ac:dyDescent="0.25">
      <c r="A485" s="2" t="s">
        <v>522</v>
      </c>
      <c r="B485" s="1">
        <v>45</v>
      </c>
      <c r="C485" s="14">
        <f t="shared" si="42"/>
        <v>45</v>
      </c>
      <c r="D485" s="1" t="s">
        <v>28</v>
      </c>
      <c r="E485" s="1" t="s">
        <v>51</v>
      </c>
      <c r="F485" s="1" t="s">
        <v>38</v>
      </c>
      <c r="G485" s="1" t="str">
        <f t="shared" si="43"/>
        <v>Lead</v>
      </c>
      <c r="H485" s="1">
        <v>61231</v>
      </c>
      <c r="I485" s="1">
        <f t="shared" si="44"/>
        <v>61231</v>
      </c>
      <c r="J485" s="1">
        <v>4</v>
      </c>
      <c r="K485" s="14">
        <f t="shared" si="45"/>
        <v>4</v>
      </c>
      <c r="L485" s="1">
        <v>5</v>
      </c>
      <c r="M485" s="1">
        <f t="shared" si="46"/>
        <v>5</v>
      </c>
      <c r="N485" s="1">
        <v>1</v>
      </c>
      <c r="O485" s="1">
        <f t="shared" si="47"/>
        <v>1</v>
      </c>
      <c r="P485" s="1" t="s">
        <v>20</v>
      </c>
      <c r="Q485" s="1">
        <v>15</v>
      </c>
      <c r="R485" s="1" t="s">
        <v>20</v>
      </c>
      <c r="S485" s="1" t="s">
        <v>30</v>
      </c>
      <c r="T485" s="1">
        <v>13</v>
      </c>
      <c r="U485" s="3" t="s">
        <v>31</v>
      </c>
    </row>
    <row r="486" spans="1:21" x14ac:dyDescent="0.25">
      <c r="A486" s="2" t="s">
        <v>523</v>
      </c>
      <c r="B486" s="1">
        <v>35</v>
      </c>
      <c r="C486" s="14">
        <f t="shared" si="42"/>
        <v>35</v>
      </c>
      <c r="D486" s="1" t="s">
        <v>16</v>
      </c>
      <c r="E486" s="1" t="s">
        <v>49</v>
      </c>
      <c r="F486" s="1" t="s">
        <v>38</v>
      </c>
      <c r="G486" s="1" t="str">
        <f t="shared" si="43"/>
        <v>Lead</v>
      </c>
      <c r="H486" s="1">
        <v>81185</v>
      </c>
      <c r="I486" s="1">
        <f t="shared" si="44"/>
        <v>81185</v>
      </c>
      <c r="J486" s="1">
        <v>1</v>
      </c>
      <c r="K486" s="14">
        <f t="shared" si="45"/>
        <v>1</v>
      </c>
      <c r="L486" s="1">
        <v>5</v>
      </c>
      <c r="M486" s="1">
        <f t="shared" si="46"/>
        <v>5</v>
      </c>
      <c r="N486" s="1"/>
      <c r="O486" s="1">
        <f t="shared" si="47"/>
        <v>3</v>
      </c>
      <c r="P486" s="1" t="s">
        <v>20</v>
      </c>
      <c r="Q486" s="1">
        <v>10</v>
      </c>
      <c r="R486" s="1" t="s">
        <v>20</v>
      </c>
      <c r="S486" s="1" t="s">
        <v>30</v>
      </c>
      <c r="T486" s="1">
        <v>12</v>
      </c>
      <c r="U486" s="3" t="s">
        <v>22</v>
      </c>
    </row>
    <row r="487" spans="1:21" x14ac:dyDescent="0.25">
      <c r="A487" s="2" t="s">
        <v>524</v>
      </c>
      <c r="B487" s="1">
        <v>44</v>
      </c>
      <c r="C487" s="14">
        <f t="shared" si="42"/>
        <v>44</v>
      </c>
      <c r="D487" s="1" t="s">
        <v>28</v>
      </c>
      <c r="E487" s="1" t="s">
        <v>40</v>
      </c>
      <c r="F487" s="1" t="s">
        <v>33</v>
      </c>
      <c r="G487" s="1" t="str">
        <f t="shared" si="43"/>
        <v>Engineer</v>
      </c>
      <c r="H487" s="1">
        <v>117674</v>
      </c>
      <c r="I487" s="1">
        <f t="shared" si="44"/>
        <v>117674</v>
      </c>
      <c r="J487" s="1">
        <v>3</v>
      </c>
      <c r="K487" s="14">
        <f t="shared" si="45"/>
        <v>3</v>
      </c>
      <c r="L487" s="1">
        <v>2</v>
      </c>
      <c r="M487" s="1">
        <f t="shared" si="46"/>
        <v>2</v>
      </c>
      <c r="N487" s="1">
        <v>2</v>
      </c>
      <c r="O487" s="1">
        <f t="shared" si="47"/>
        <v>2</v>
      </c>
      <c r="P487" s="1" t="s">
        <v>19</v>
      </c>
      <c r="Q487" s="1">
        <v>12</v>
      </c>
      <c r="R487" s="1" t="s">
        <v>19</v>
      </c>
      <c r="S487" s="1" t="s">
        <v>30</v>
      </c>
      <c r="T487" s="1">
        <v>54</v>
      </c>
      <c r="U487" s="3" t="s">
        <v>22</v>
      </c>
    </row>
    <row r="488" spans="1:21" x14ac:dyDescent="0.25">
      <c r="A488" s="2" t="s">
        <v>525</v>
      </c>
      <c r="B488" s="1">
        <v>43</v>
      </c>
      <c r="C488" s="14">
        <f t="shared" si="42"/>
        <v>43</v>
      </c>
      <c r="D488" s="1" t="s">
        <v>28</v>
      </c>
      <c r="E488" s="1" t="s">
        <v>40</v>
      </c>
      <c r="F488" s="1" t="s">
        <v>38</v>
      </c>
      <c r="G488" s="1" t="str">
        <f t="shared" si="43"/>
        <v>Lead</v>
      </c>
      <c r="H488" s="1">
        <v>75407</v>
      </c>
      <c r="I488" s="1">
        <f t="shared" si="44"/>
        <v>75407</v>
      </c>
      <c r="J488" s="1">
        <v>2</v>
      </c>
      <c r="K488" s="14">
        <f t="shared" si="45"/>
        <v>2</v>
      </c>
      <c r="L488" s="1">
        <v>2</v>
      </c>
      <c r="M488" s="1">
        <f t="shared" si="46"/>
        <v>2</v>
      </c>
      <c r="N488" s="1">
        <v>1</v>
      </c>
      <c r="O488" s="1">
        <f t="shared" si="47"/>
        <v>1</v>
      </c>
      <c r="P488" s="1" t="s">
        <v>19</v>
      </c>
      <c r="Q488" s="1">
        <v>0</v>
      </c>
      <c r="R488" s="1" t="s">
        <v>19</v>
      </c>
      <c r="S488" s="1" t="s">
        <v>30</v>
      </c>
      <c r="T488" s="1">
        <v>54</v>
      </c>
      <c r="U488" s="3" t="s">
        <v>22</v>
      </c>
    </row>
    <row r="489" spans="1:21" x14ac:dyDescent="0.25">
      <c r="A489" s="2" t="s">
        <v>526</v>
      </c>
      <c r="B489" s="1"/>
      <c r="C489" s="14">
        <f t="shared" si="42"/>
        <v>39</v>
      </c>
      <c r="D489" s="1" t="s">
        <v>28</v>
      </c>
      <c r="E489" s="1" t="s">
        <v>49</v>
      </c>
      <c r="F489" s="1" t="s">
        <v>25</v>
      </c>
      <c r="G489" s="1" t="str">
        <f t="shared" si="43"/>
        <v>Associate</v>
      </c>
      <c r="H489" s="1">
        <v>76891</v>
      </c>
      <c r="I489" s="1">
        <f t="shared" si="44"/>
        <v>76891</v>
      </c>
      <c r="J489" s="1">
        <v>1</v>
      </c>
      <c r="K489" s="14">
        <f t="shared" si="45"/>
        <v>1</v>
      </c>
      <c r="L489" s="1">
        <v>1</v>
      </c>
      <c r="M489" s="1">
        <f t="shared" si="46"/>
        <v>1</v>
      </c>
      <c r="N489" s="1">
        <v>3</v>
      </c>
      <c r="O489" s="1">
        <f t="shared" si="47"/>
        <v>3</v>
      </c>
      <c r="P489" s="1" t="s">
        <v>19</v>
      </c>
      <c r="Q489" s="1">
        <v>10</v>
      </c>
      <c r="R489" s="1" t="s">
        <v>19</v>
      </c>
      <c r="S489" s="1" t="s">
        <v>30</v>
      </c>
      <c r="T489" s="1">
        <v>20</v>
      </c>
      <c r="U489" s="3" t="s">
        <v>44</v>
      </c>
    </row>
    <row r="490" spans="1:21" x14ac:dyDescent="0.25">
      <c r="A490" s="2" t="s">
        <v>527</v>
      </c>
      <c r="B490" s="1">
        <v>54</v>
      </c>
      <c r="C490" s="14">
        <f t="shared" si="42"/>
        <v>54</v>
      </c>
      <c r="D490" s="1" t="s">
        <v>28</v>
      </c>
      <c r="E490" s="1" t="s">
        <v>17</v>
      </c>
      <c r="F490" s="1" t="s">
        <v>25</v>
      </c>
      <c r="G490" s="1" t="str">
        <f t="shared" si="43"/>
        <v>Associate</v>
      </c>
      <c r="H490" s="1">
        <v>37523</v>
      </c>
      <c r="I490" s="1">
        <f t="shared" si="44"/>
        <v>37523</v>
      </c>
      <c r="J490" s="1">
        <v>5</v>
      </c>
      <c r="K490" s="14">
        <f t="shared" si="45"/>
        <v>5</v>
      </c>
      <c r="L490" s="1">
        <v>2</v>
      </c>
      <c r="M490" s="1">
        <f t="shared" si="46"/>
        <v>2</v>
      </c>
      <c r="N490" s="1">
        <v>1</v>
      </c>
      <c r="O490" s="1">
        <f t="shared" si="47"/>
        <v>1</v>
      </c>
      <c r="P490" s="1" t="s">
        <v>19</v>
      </c>
      <c r="Q490" s="1">
        <v>4</v>
      </c>
      <c r="R490" s="1" t="s">
        <v>20</v>
      </c>
      <c r="S490" s="1" t="s">
        <v>26</v>
      </c>
      <c r="T490" s="1">
        <v>7</v>
      </c>
      <c r="U490" s="3" t="s">
        <v>42</v>
      </c>
    </row>
    <row r="491" spans="1:21" x14ac:dyDescent="0.25">
      <c r="A491" s="2" t="s">
        <v>528</v>
      </c>
      <c r="B491" s="1">
        <v>23</v>
      </c>
      <c r="C491" s="14">
        <f t="shared" si="42"/>
        <v>23</v>
      </c>
      <c r="D491" s="1" t="s">
        <v>16</v>
      </c>
      <c r="E491" s="1" t="s">
        <v>17</v>
      </c>
      <c r="F491" s="1" t="s">
        <v>38</v>
      </c>
      <c r="G491" s="1" t="str">
        <f t="shared" si="43"/>
        <v>Lead</v>
      </c>
      <c r="H491" s="1">
        <v>35109</v>
      </c>
      <c r="I491" s="1">
        <f t="shared" si="44"/>
        <v>35109</v>
      </c>
      <c r="J491" s="1">
        <v>1</v>
      </c>
      <c r="K491" s="14">
        <f t="shared" si="45"/>
        <v>1</v>
      </c>
      <c r="L491" s="1">
        <v>2</v>
      </c>
      <c r="M491" s="1">
        <f t="shared" si="46"/>
        <v>2</v>
      </c>
      <c r="N491" s="1">
        <v>1</v>
      </c>
      <c r="O491" s="1">
        <f t="shared" si="47"/>
        <v>1</v>
      </c>
      <c r="P491" s="1" t="s">
        <v>20</v>
      </c>
      <c r="Q491" s="1">
        <v>3</v>
      </c>
      <c r="R491" s="1" t="s">
        <v>20</v>
      </c>
      <c r="S491" s="1" t="s">
        <v>26</v>
      </c>
      <c r="T491" s="1">
        <v>26</v>
      </c>
      <c r="U491" s="3" t="s">
        <v>31</v>
      </c>
    </row>
    <row r="492" spans="1:21" x14ac:dyDescent="0.25">
      <c r="A492" s="2" t="s">
        <v>529</v>
      </c>
      <c r="B492" s="1">
        <v>25</v>
      </c>
      <c r="C492" s="14">
        <f t="shared" si="42"/>
        <v>25</v>
      </c>
      <c r="D492" s="1" t="s">
        <v>16</v>
      </c>
      <c r="E492" s="1" t="s">
        <v>40</v>
      </c>
      <c r="F492" s="1" t="s">
        <v>33</v>
      </c>
      <c r="G492" s="1" t="str">
        <f t="shared" si="43"/>
        <v>Engineer</v>
      </c>
      <c r="H492" s="1">
        <v>95984</v>
      </c>
      <c r="I492" s="1">
        <f t="shared" si="44"/>
        <v>95984</v>
      </c>
      <c r="J492" s="1">
        <v>5</v>
      </c>
      <c r="K492" s="14">
        <f t="shared" si="45"/>
        <v>5</v>
      </c>
      <c r="L492" s="1">
        <v>2</v>
      </c>
      <c r="M492" s="1">
        <f t="shared" si="46"/>
        <v>2</v>
      </c>
      <c r="N492" s="1">
        <v>1</v>
      </c>
      <c r="O492" s="1">
        <f t="shared" si="47"/>
        <v>1</v>
      </c>
      <c r="P492" s="1" t="s">
        <v>19</v>
      </c>
      <c r="Q492" s="1">
        <v>13</v>
      </c>
      <c r="R492" s="1" t="s">
        <v>20</v>
      </c>
      <c r="S492" s="1" t="s">
        <v>26</v>
      </c>
      <c r="T492" s="1">
        <v>56</v>
      </c>
      <c r="U492" s="3" t="s">
        <v>36</v>
      </c>
    </row>
    <row r="493" spans="1:21" x14ac:dyDescent="0.25">
      <c r="A493" s="2" t="s">
        <v>530</v>
      </c>
      <c r="B493" s="1">
        <v>28</v>
      </c>
      <c r="C493" s="14">
        <f t="shared" si="42"/>
        <v>28</v>
      </c>
      <c r="D493" s="1" t="s">
        <v>16</v>
      </c>
      <c r="E493" s="1" t="s">
        <v>29</v>
      </c>
      <c r="F493" s="1" t="s">
        <v>41</v>
      </c>
      <c r="G493" s="1" t="str">
        <f t="shared" si="43"/>
        <v>Executive</v>
      </c>
      <c r="H493" s="1">
        <v>118168</v>
      </c>
      <c r="I493" s="1">
        <f t="shared" si="44"/>
        <v>118168</v>
      </c>
      <c r="J493" s="1">
        <v>1</v>
      </c>
      <c r="K493" s="14">
        <f t="shared" si="45"/>
        <v>1</v>
      </c>
      <c r="L493" s="1">
        <v>5</v>
      </c>
      <c r="M493" s="1">
        <f t="shared" si="46"/>
        <v>5</v>
      </c>
      <c r="N493" s="1">
        <v>2</v>
      </c>
      <c r="O493" s="1">
        <f t="shared" si="47"/>
        <v>2</v>
      </c>
      <c r="P493" s="1" t="s">
        <v>20</v>
      </c>
      <c r="Q493" s="1">
        <v>2</v>
      </c>
      <c r="R493" s="1" t="s">
        <v>19</v>
      </c>
      <c r="S493" s="1" t="s">
        <v>30</v>
      </c>
      <c r="T493" s="1">
        <v>23</v>
      </c>
      <c r="U493" s="3" t="s">
        <v>42</v>
      </c>
    </row>
    <row r="494" spans="1:21" x14ac:dyDescent="0.25">
      <c r="A494" s="2" t="s">
        <v>531</v>
      </c>
      <c r="B494" s="1">
        <v>31</v>
      </c>
      <c r="C494" s="14">
        <f t="shared" si="42"/>
        <v>31</v>
      </c>
      <c r="D494" s="1" t="s">
        <v>28</v>
      </c>
      <c r="E494" s="1" t="s">
        <v>24</v>
      </c>
      <c r="F494" s="1" t="s">
        <v>568</v>
      </c>
      <c r="G494" s="1" t="str">
        <f t="shared" si="43"/>
        <v>Executive</v>
      </c>
      <c r="H494" s="1">
        <v>75496</v>
      </c>
      <c r="I494" s="1">
        <f t="shared" si="44"/>
        <v>75496</v>
      </c>
      <c r="J494" s="1">
        <v>2</v>
      </c>
      <c r="K494" s="14">
        <f t="shared" si="45"/>
        <v>2</v>
      </c>
      <c r="L494" s="1">
        <v>5</v>
      </c>
      <c r="M494" s="1">
        <f t="shared" si="46"/>
        <v>5</v>
      </c>
      <c r="N494" s="1">
        <v>1</v>
      </c>
      <c r="O494" s="1">
        <f t="shared" si="47"/>
        <v>1</v>
      </c>
      <c r="P494" s="1" t="s">
        <v>19</v>
      </c>
      <c r="Q494" s="1">
        <v>3</v>
      </c>
      <c r="R494" s="1" t="s">
        <v>20</v>
      </c>
      <c r="S494" s="1" t="s">
        <v>21</v>
      </c>
      <c r="T494" s="1">
        <v>7</v>
      </c>
      <c r="U494" s="3" t="s">
        <v>42</v>
      </c>
    </row>
    <row r="495" spans="1:21" x14ac:dyDescent="0.25">
      <c r="A495" s="2" t="s">
        <v>532</v>
      </c>
      <c r="B495" s="1">
        <v>26</v>
      </c>
      <c r="C495" s="14">
        <f t="shared" si="42"/>
        <v>26</v>
      </c>
      <c r="D495" s="1" t="s">
        <v>16</v>
      </c>
      <c r="E495" s="1" t="s">
        <v>40</v>
      </c>
      <c r="F495" s="1" t="s">
        <v>41</v>
      </c>
      <c r="G495" s="1" t="str">
        <f t="shared" si="43"/>
        <v>Executive</v>
      </c>
      <c r="H495" s="1">
        <v>29683</v>
      </c>
      <c r="I495" s="1">
        <f t="shared" si="44"/>
        <v>29683</v>
      </c>
      <c r="J495" s="1">
        <v>5</v>
      </c>
      <c r="K495" s="14">
        <f t="shared" si="45"/>
        <v>5</v>
      </c>
      <c r="L495" s="1">
        <v>3</v>
      </c>
      <c r="M495" s="1">
        <f t="shared" si="46"/>
        <v>3</v>
      </c>
      <c r="N495" s="1">
        <v>4</v>
      </c>
      <c r="O495" s="1">
        <f t="shared" si="47"/>
        <v>4</v>
      </c>
      <c r="P495" s="1" t="s">
        <v>20</v>
      </c>
      <c r="Q495" s="1">
        <v>4</v>
      </c>
      <c r="R495" s="1" t="s">
        <v>19</v>
      </c>
      <c r="S495" s="1" t="s">
        <v>21</v>
      </c>
      <c r="T495" s="1">
        <v>39</v>
      </c>
      <c r="U495" s="3" t="s">
        <v>31</v>
      </c>
    </row>
    <row r="496" spans="1:21" x14ac:dyDescent="0.25">
      <c r="A496" s="2" t="s">
        <v>533</v>
      </c>
      <c r="B496" s="1">
        <v>49</v>
      </c>
      <c r="C496" s="14">
        <f t="shared" si="42"/>
        <v>49</v>
      </c>
      <c r="D496" s="1" t="s">
        <v>28</v>
      </c>
      <c r="E496" s="1" t="s">
        <v>51</v>
      </c>
      <c r="F496" s="1" t="s">
        <v>41</v>
      </c>
      <c r="G496" s="1" t="str">
        <f t="shared" si="43"/>
        <v>Executive</v>
      </c>
      <c r="H496" s="1">
        <v>98024</v>
      </c>
      <c r="I496" s="1">
        <f t="shared" si="44"/>
        <v>98024</v>
      </c>
      <c r="J496" s="1">
        <v>1</v>
      </c>
      <c r="K496" s="14">
        <f t="shared" si="45"/>
        <v>1</v>
      </c>
      <c r="L496" s="1">
        <v>5</v>
      </c>
      <c r="M496" s="1">
        <f t="shared" si="46"/>
        <v>5</v>
      </c>
      <c r="N496" s="1">
        <v>2</v>
      </c>
      <c r="O496" s="1">
        <f t="shared" si="47"/>
        <v>2</v>
      </c>
      <c r="P496" s="1" t="s">
        <v>20</v>
      </c>
      <c r="Q496" s="1">
        <v>19</v>
      </c>
      <c r="R496" s="1" t="s">
        <v>19</v>
      </c>
      <c r="S496" s="1" t="s">
        <v>26</v>
      </c>
      <c r="T496" s="1">
        <v>43</v>
      </c>
      <c r="U496" s="3" t="s">
        <v>36</v>
      </c>
    </row>
    <row r="497" spans="1:21" x14ac:dyDescent="0.25">
      <c r="A497" s="2" t="s">
        <v>534</v>
      </c>
      <c r="B497" s="1">
        <v>47</v>
      </c>
      <c r="C497" s="14">
        <f t="shared" si="42"/>
        <v>47</v>
      </c>
      <c r="D497" s="1" t="s">
        <v>16</v>
      </c>
      <c r="E497" s="1" t="s">
        <v>24</v>
      </c>
      <c r="F497" s="1" t="s">
        <v>41</v>
      </c>
      <c r="G497" s="1" t="str">
        <f t="shared" si="43"/>
        <v>Executive</v>
      </c>
      <c r="H497" s="1">
        <v>43153</v>
      </c>
      <c r="I497" s="1">
        <f t="shared" si="44"/>
        <v>43153</v>
      </c>
      <c r="J497" s="1">
        <v>1</v>
      </c>
      <c r="K497" s="14">
        <f t="shared" si="45"/>
        <v>1</v>
      </c>
      <c r="L497" s="1">
        <v>5</v>
      </c>
      <c r="M497" s="1">
        <f t="shared" si="46"/>
        <v>5</v>
      </c>
      <c r="N497" s="1">
        <v>1</v>
      </c>
      <c r="O497" s="1">
        <f t="shared" si="47"/>
        <v>1</v>
      </c>
      <c r="P497" s="1" t="s">
        <v>20</v>
      </c>
      <c r="Q497" s="1">
        <v>17</v>
      </c>
      <c r="R497" s="1" t="s">
        <v>19</v>
      </c>
      <c r="S497" s="1" t="s">
        <v>30</v>
      </c>
      <c r="T497" s="1">
        <v>31</v>
      </c>
      <c r="U497" s="3" t="s">
        <v>36</v>
      </c>
    </row>
    <row r="498" spans="1:21" x14ac:dyDescent="0.25">
      <c r="A498" s="2" t="s">
        <v>535</v>
      </c>
      <c r="B498" s="1"/>
      <c r="C498" s="14">
        <f t="shared" si="42"/>
        <v>39</v>
      </c>
      <c r="D498" s="1" t="s">
        <v>16</v>
      </c>
      <c r="E498" s="1" t="s">
        <v>40</v>
      </c>
      <c r="F498" s="1" t="s">
        <v>41</v>
      </c>
      <c r="G498" s="1" t="str">
        <f t="shared" si="43"/>
        <v>Executive</v>
      </c>
      <c r="H498" s="1">
        <v>107816</v>
      </c>
      <c r="I498" s="1">
        <f t="shared" si="44"/>
        <v>107816</v>
      </c>
      <c r="J498" s="1">
        <v>4</v>
      </c>
      <c r="K498" s="14">
        <f t="shared" si="45"/>
        <v>4</v>
      </c>
      <c r="L498" s="1">
        <v>4</v>
      </c>
      <c r="M498" s="1">
        <f t="shared" si="46"/>
        <v>4</v>
      </c>
      <c r="N498" s="1">
        <v>2</v>
      </c>
      <c r="O498" s="1">
        <f t="shared" si="47"/>
        <v>2</v>
      </c>
      <c r="P498" s="1" t="s">
        <v>19</v>
      </c>
      <c r="Q498" s="1">
        <v>1</v>
      </c>
      <c r="R498" s="1" t="s">
        <v>19</v>
      </c>
      <c r="S498" s="1" t="s">
        <v>26</v>
      </c>
      <c r="T498" s="1">
        <v>51</v>
      </c>
      <c r="U498" s="3" t="s">
        <v>36</v>
      </c>
    </row>
    <row r="499" spans="1:21" x14ac:dyDescent="0.25">
      <c r="A499" s="2" t="s">
        <v>536</v>
      </c>
      <c r="B499" s="1">
        <v>34</v>
      </c>
      <c r="C499" s="14">
        <f t="shared" si="42"/>
        <v>34</v>
      </c>
      <c r="D499" s="1" t="s">
        <v>28</v>
      </c>
      <c r="E499" s="1" t="s">
        <v>29</v>
      </c>
      <c r="F499" s="1" t="s">
        <v>18</v>
      </c>
      <c r="G499" s="1" t="str">
        <f t="shared" si="43"/>
        <v>Analyst</v>
      </c>
      <c r="H499" s="1">
        <v>98847</v>
      </c>
      <c r="I499" s="1">
        <f t="shared" si="44"/>
        <v>98847</v>
      </c>
      <c r="J499" s="1">
        <v>4</v>
      </c>
      <c r="K499" s="14">
        <f t="shared" si="45"/>
        <v>4</v>
      </c>
      <c r="L499" s="1">
        <v>1</v>
      </c>
      <c r="M499" s="1">
        <f t="shared" si="46"/>
        <v>1</v>
      </c>
      <c r="N499" s="1">
        <v>1</v>
      </c>
      <c r="O499" s="1">
        <f t="shared" si="47"/>
        <v>1</v>
      </c>
      <c r="P499" s="1" t="s">
        <v>19</v>
      </c>
      <c r="Q499" s="1">
        <v>17</v>
      </c>
      <c r="R499" s="1" t="s">
        <v>19</v>
      </c>
      <c r="S499" s="1" t="s">
        <v>21</v>
      </c>
      <c r="T499" s="1">
        <v>8</v>
      </c>
      <c r="U499" s="3" t="s">
        <v>42</v>
      </c>
    </row>
    <row r="500" spans="1:21" x14ac:dyDescent="0.25">
      <c r="A500" s="2" t="s">
        <v>537</v>
      </c>
      <c r="B500" s="1">
        <v>53</v>
      </c>
      <c r="C500" s="14">
        <f t="shared" si="42"/>
        <v>53</v>
      </c>
      <c r="D500" s="1" t="s">
        <v>16</v>
      </c>
      <c r="E500" s="1" t="s">
        <v>40</v>
      </c>
      <c r="F500" s="1" t="s">
        <v>41</v>
      </c>
      <c r="G500" s="1" t="str">
        <f t="shared" si="43"/>
        <v>Executive</v>
      </c>
      <c r="H500" s="1">
        <v>112555</v>
      </c>
      <c r="I500" s="1">
        <f t="shared" si="44"/>
        <v>112555</v>
      </c>
      <c r="J500" s="1">
        <v>4</v>
      </c>
      <c r="K500" s="14">
        <f t="shared" si="45"/>
        <v>4</v>
      </c>
      <c r="L500" s="1">
        <v>5</v>
      </c>
      <c r="M500" s="1">
        <f t="shared" si="46"/>
        <v>5</v>
      </c>
      <c r="N500" s="1">
        <v>5</v>
      </c>
      <c r="O500" s="1">
        <f t="shared" si="47"/>
        <v>5</v>
      </c>
      <c r="P500" s="1" t="s">
        <v>20</v>
      </c>
      <c r="Q500" s="1">
        <v>13</v>
      </c>
      <c r="R500" s="1" t="s">
        <v>19</v>
      </c>
      <c r="S500" s="1" t="s">
        <v>26</v>
      </c>
      <c r="T500" s="1">
        <v>46</v>
      </c>
      <c r="U500" s="3" t="s">
        <v>44</v>
      </c>
    </row>
    <row r="501" spans="1:21" x14ac:dyDescent="0.25">
      <c r="A501" s="4" t="s">
        <v>538</v>
      </c>
      <c r="B501" s="5">
        <v>28</v>
      </c>
      <c r="C501" s="15">
        <f t="shared" si="42"/>
        <v>28</v>
      </c>
      <c r="D501" s="5" t="s">
        <v>28</v>
      </c>
      <c r="E501" s="5" t="s">
        <v>51</v>
      </c>
      <c r="F501" s="5" t="s">
        <v>35</v>
      </c>
      <c r="G501" s="5" t="str">
        <f t="shared" si="43"/>
        <v>Manager</v>
      </c>
      <c r="H501" s="5"/>
      <c r="I501" s="5">
        <f t="shared" si="44"/>
        <v>68925</v>
      </c>
      <c r="J501" s="5">
        <v>4</v>
      </c>
      <c r="K501" s="15">
        <f t="shared" si="45"/>
        <v>4</v>
      </c>
      <c r="L501" s="5">
        <v>2</v>
      </c>
      <c r="M501" s="5">
        <f t="shared" si="46"/>
        <v>2</v>
      </c>
      <c r="N501" s="5">
        <v>4</v>
      </c>
      <c r="O501" s="5">
        <f t="shared" si="47"/>
        <v>4</v>
      </c>
      <c r="P501" s="5" t="s">
        <v>19</v>
      </c>
      <c r="Q501" s="5">
        <v>2</v>
      </c>
      <c r="R501" s="5" t="s">
        <v>20</v>
      </c>
      <c r="S501" s="5" t="s">
        <v>26</v>
      </c>
      <c r="T501" s="5">
        <v>67</v>
      </c>
      <c r="U501" s="6" t="s">
        <v>22</v>
      </c>
    </row>
    <row r="503" spans="1:21" x14ac:dyDescent="0.25">
      <c r="N503">
        <f>AVERAGE(N2:N501)</f>
        <v>2.9750000000000001</v>
      </c>
    </row>
    <row r="504" spans="1:21" x14ac:dyDescent="0.25">
      <c r="L504" s="17" t="s">
        <v>543</v>
      </c>
      <c r="N504" s="17" t="s">
        <v>543</v>
      </c>
    </row>
    <row r="505" spans="1:21" x14ac:dyDescent="0.25">
      <c r="A505" s="12" t="s">
        <v>540</v>
      </c>
      <c r="B505" s="12">
        <f>AVERAGE(B2:B501)</f>
        <v>39.429166666666667</v>
      </c>
      <c r="J505" s="13">
        <f>MEDIAN(J2:J501)</f>
        <v>3</v>
      </c>
    </row>
    <row r="506" spans="1:21" x14ac:dyDescent="0.25">
      <c r="A506" s="12" t="s">
        <v>541</v>
      </c>
      <c r="B506" s="12">
        <f>MEDIAN(B2:B501)</f>
        <v>39</v>
      </c>
      <c r="F506" s="13" t="s">
        <v>540</v>
      </c>
      <c r="G506" s="13"/>
      <c r="H506" s="13">
        <f>AVERAGE(H2:H501)</f>
        <v>68924.772916666669</v>
      </c>
      <c r="I506"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9A9D-F599-465E-A03E-C97B5422EA90}">
  <dimension ref="A1:O508"/>
  <sheetViews>
    <sheetView workbookViewId="0">
      <selection activeCell="C6" sqref="A1:O501"/>
    </sheetView>
  </sheetViews>
  <sheetFormatPr defaultRowHeight="15" x14ac:dyDescent="0.25"/>
  <cols>
    <col min="1" max="1" width="15.85546875" customWidth="1"/>
    <col min="3" max="3" width="9.85546875" customWidth="1"/>
    <col min="4" max="4" width="16" customWidth="1"/>
    <col min="5" max="5" width="14.7109375" customWidth="1"/>
    <col min="6" max="6" width="18.28515625" customWidth="1"/>
    <col min="7" max="7" width="17.42578125" style="16" customWidth="1"/>
    <col min="8" max="8" width="20.140625" customWidth="1"/>
    <col min="9" max="9" width="19.140625" customWidth="1"/>
    <col min="10" max="10" width="13.7109375" customWidth="1"/>
    <col min="11" max="11" width="22.7109375" customWidth="1"/>
    <col min="12" max="12" width="10.7109375" customWidth="1"/>
    <col min="13" max="13" width="16" customWidth="1"/>
    <col min="14" max="14" width="15.42578125" customWidth="1"/>
    <col min="15" max="15" width="15" customWidth="1"/>
  </cols>
  <sheetData>
    <row r="1" spans="1:15" s="22" customFormat="1" x14ac:dyDescent="0.25">
      <c r="A1" s="19" t="s">
        <v>0</v>
      </c>
      <c r="B1" s="23" t="s">
        <v>539</v>
      </c>
      <c r="C1" s="20" t="s">
        <v>2</v>
      </c>
      <c r="D1" s="20" t="s">
        <v>3</v>
      </c>
      <c r="E1" s="23" t="s">
        <v>553</v>
      </c>
      <c r="F1" s="23" t="s">
        <v>586</v>
      </c>
      <c r="G1" s="20" t="s">
        <v>542</v>
      </c>
      <c r="H1" s="23" t="s">
        <v>7</v>
      </c>
      <c r="I1" s="23" t="s">
        <v>545</v>
      </c>
      <c r="J1" s="20" t="s">
        <v>9</v>
      </c>
      <c r="K1" s="20" t="s">
        <v>10</v>
      </c>
      <c r="L1" s="20" t="s">
        <v>11</v>
      </c>
      <c r="M1" s="20" t="s">
        <v>12</v>
      </c>
      <c r="N1" s="20" t="s">
        <v>13</v>
      </c>
      <c r="O1" s="21" t="s">
        <v>14</v>
      </c>
    </row>
    <row r="2" spans="1:15" x14ac:dyDescent="0.25">
      <c r="A2" s="2" t="s">
        <v>15</v>
      </c>
      <c r="B2" s="1">
        <v>28</v>
      </c>
      <c r="C2" s="1" t="s">
        <v>16</v>
      </c>
      <c r="D2" s="1" t="s">
        <v>17</v>
      </c>
      <c r="E2" s="1" t="s">
        <v>18</v>
      </c>
      <c r="F2" s="1">
        <v>50098</v>
      </c>
      <c r="G2" s="14">
        <v>2</v>
      </c>
      <c r="H2" s="1">
        <v>2</v>
      </c>
      <c r="I2" s="1">
        <v>1</v>
      </c>
      <c r="J2" s="1" t="s">
        <v>19</v>
      </c>
      <c r="K2" s="1">
        <v>18</v>
      </c>
      <c r="L2" s="1" t="s">
        <v>20</v>
      </c>
      <c r="M2" s="1" t="s">
        <v>21</v>
      </c>
      <c r="N2" s="1">
        <v>8</v>
      </c>
      <c r="O2" s="3" t="s">
        <v>22</v>
      </c>
    </row>
    <row r="3" spans="1:15" x14ac:dyDescent="0.25">
      <c r="A3" s="2" t="s">
        <v>23</v>
      </c>
      <c r="B3" s="1">
        <v>34</v>
      </c>
      <c r="C3" s="1" t="s">
        <v>16</v>
      </c>
      <c r="D3" s="1" t="s">
        <v>24</v>
      </c>
      <c r="E3" s="1" t="s">
        <v>25</v>
      </c>
      <c r="F3" s="1">
        <v>21478</v>
      </c>
      <c r="G3" s="14">
        <v>5</v>
      </c>
      <c r="H3" s="1">
        <v>2</v>
      </c>
      <c r="I3" s="1">
        <v>5</v>
      </c>
      <c r="J3" s="1" t="s">
        <v>20</v>
      </c>
      <c r="K3" s="1">
        <v>7</v>
      </c>
      <c r="L3" s="1" t="s">
        <v>20</v>
      </c>
      <c r="M3" s="1" t="s">
        <v>26</v>
      </c>
      <c r="N3" s="1">
        <v>40</v>
      </c>
      <c r="O3" s="3" t="s">
        <v>22</v>
      </c>
    </row>
    <row r="4" spans="1:15" x14ac:dyDescent="0.25">
      <c r="A4" s="2" t="s">
        <v>27</v>
      </c>
      <c r="B4" s="1">
        <v>31</v>
      </c>
      <c r="C4" s="1" t="s">
        <v>28</v>
      </c>
      <c r="D4" s="1" t="s">
        <v>29</v>
      </c>
      <c r="E4" s="1" t="s">
        <v>18</v>
      </c>
      <c r="F4" s="1">
        <v>38379</v>
      </c>
      <c r="G4" s="14">
        <v>2</v>
      </c>
      <c r="H4" s="1">
        <v>3</v>
      </c>
      <c r="I4" s="1">
        <v>1</v>
      </c>
      <c r="J4" s="1" t="s">
        <v>19</v>
      </c>
      <c r="K4" s="1">
        <v>12</v>
      </c>
      <c r="L4" s="1" t="s">
        <v>19</v>
      </c>
      <c r="M4" s="1" t="s">
        <v>30</v>
      </c>
      <c r="N4" s="1">
        <v>49</v>
      </c>
      <c r="O4" s="3" t="s">
        <v>31</v>
      </c>
    </row>
    <row r="5" spans="1:15" x14ac:dyDescent="0.25">
      <c r="A5" s="2" t="s">
        <v>32</v>
      </c>
      <c r="B5" s="1">
        <v>37</v>
      </c>
      <c r="C5" s="1" t="s">
        <v>16</v>
      </c>
      <c r="D5" s="1" t="s">
        <v>17</v>
      </c>
      <c r="E5" s="1" t="s">
        <v>33</v>
      </c>
      <c r="F5" s="1">
        <v>88284</v>
      </c>
      <c r="G5" s="14">
        <v>1</v>
      </c>
      <c r="H5" s="1">
        <v>4</v>
      </c>
      <c r="I5" s="1">
        <v>1</v>
      </c>
      <c r="J5" s="1" t="s">
        <v>20</v>
      </c>
      <c r="K5" s="1">
        <v>20</v>
      </c>
      <c r="L5" s="1" t="s">
        <v>20</v>
      </c>
      <c r="M5" s="1" t="s">
        <v>26</v>
      </c>
      <c r="N5" s="1">
        <v>29</v>
      </c>
      <c r="O5" s="3" t="s">
        <v>22</v>
      </c>
    </row>
    <row r="6" spans="1:15" x14ac:dyDescent="0.25">
      <c r="A6" s="2" t="s">
        <v>34</v>
      </c>
      <c r="B6" s="1">
        <v>23</v>
      </c>
      <c r="C6" s="1" t="s">
        <v>16</v>
      </c>
      <c r="D6" s="1" t="s">
        <v>29</v>
      </c>
      <c r="E6" s="1" t="s">
        <v>35</v>
      </c>
      <c r="F6" s="1">
        <v>48512</v>
      </c>
      <c r="G6" s="14">
        <v>1</v>
      </c>
      <c r="H6" s="1">
        <v>4</v>
      </c>
      <c r="I6" s="1">
        <v>3</v>
      </c>
      <c r="J6" s="1" t="s">
        <v>20</v>
      </c>
      <c r="K6" s="1">
        <v>20</v>
      </c>
      <c r="L6" s="1" t="s">
        <v>20</v>
      </c>
      <c r="M6" s="1" t="s">
        <v>21</v>
      </c>
      <c r="N6" s="1">
        <v>52</v>
      </c>
      <c r="O6" s="3" t="s">
        <v>36</v>
      </c>
    </row>
    <row r="7" spans="1:15" x14ac:dyDescent="0.25">
      <c r="A7" s="2" t="s">
        <v>37</v>
      </c>
      <c r="B7" s="1">
        <v>34</v>
      </c>
      <c r="C7" s="1" t="s">
        <v>28</v>
      </c>
      <c r="D7" s="1" t="s">
        <v>17</v>
      </c>
      <c r="E7" s="1" t="s">
        <v>38</v>
      </c>
      <c r="F7" s="1">
        <v>102939</v>
      </c>
      <c r="G7" s="14">
        <v>1</v>
      </c>
      <c r="H7" s="1">
        <v>5</v>
      </c>
      <c r="I7" s="1">
        <v>2</v>
      </c>
      <c r="J7" s="1" t="s">
        <v>19</v>
      </c>
      <c r="K7" s="1">
        <v>5</v>
      </c>
      <c r="L7" s="1" t="s">
        <v>20</v>
      </c>
      <c r="M7" s="1" t="s">
        <v>30</v>
      </c>
      <c r="N7" s="1">
        <v>39</v>
      </c>
      <c r="O7" s="3" t="s">
        <v>31</v>
      </c>
    </row>
    <row r="8" spans="1:15" x14ac:dyDescent="0.25">
      <c r="A8" s="2" t="s">
        <v>39</v>
      </c>
      <c r="B8" s="1">
        <v>35</v>
      </c>
      <c r="C8" s="1" t="s">
        <v>28</v>
      </c>
      <c r="D8" s="1" t="s">
        <v>40</v>
      </c>
      <c r="E8" s="1" t="s">
        <v>550</v>
      </c>
      <c r="F8" s="1">
        <v>22207</v>
      </c>
      <c r="G8" s="14">
        <v>3</v>
      </c>
      <c r="H8" s="1">
        <v>4</v>
      </c>
      <c r="I8" s="1">
        <v>3</v>
      </c>
      <c r="J8" s="1" t="s">
        <v>19</v>
      </c>
      <c r="K8" s="1">
        <v>6</v>
      </c>
      <c r="L8" s="1" t="s">
        <v>20</v>
      </c>
      <c r="M8" s="1" t="s">
        <v>21</v>
      </c>
      <c r="N8" s="1">
        <v>68</v>
      </c>
      <c r="O8" s="3" t="s">
        <v>42</v>
      </c>
    </row>
    <row r="9" spans="1:15" x14ac:dyDescent="0.25">
      <c r="A9" s="2" t="s">
        <v>43</v>
      </c>
      <c r="B9" s="1">
        <v>50</v>
      </c>
      <c r="C9" s="1" t="s">
        <v>16</v>
      </c>
      <c r="D9" s="1" t="s">
        <v>29</v>
      </c>
      <c r="E9" s="1" t="s">
        <v>41</v>
      </c>
      <c r="F9" s="1">
        <v>50325</v>
      </c>
      <c r="G9" s="14">
        <v>5</v>
      </c>
      <c r="H9" s="1">
        <v>5</v>
      </c>
      <c r="I9" s="1">
        <v>3</v>
      </c>
      <c r="J9" s="1" t="s">
        <v>20</v>
      </c>
      <c r="K9" s="1">
        <v>18</v>
      </c>
      <c r="L9" s="1" t="s">
        <v>20</v>
      </c>
      <c r="M9" s="1" t="s">
        <v>30</v>
      </c>
      <c r="N9" s="1">
        <v>33</v>
      </c>
      <c r="O9" s="3" t="s">
        <v>44</v>
      </c>
    </row>
    <row r="10" spans="1:15" x14ac:dyDescent="0.25">
      <c r="A10" s="2" t="s">
        <v>45</v>
      </c>
      <c r="B10" s="1">
        <v>53</v>
      </c>
      <c r="C10" s="1" t="s">
        <v>28</v>
      </c>
      <c r="D10" s="1" t="s">
        <v>40</v>
      </c>
      <c r="E10" s="1" t="s">
        <v>35</v>
      </c>
      <c r="F10" s="1">
        <v>32371</v>
      </c>
      <c r="G10" s="14">
        <v>2</v>
      </c>
      <c r="H10" s="1">
        <v>2</v>
      </c>
      <c r="I10" s="1">
        <v>4</v>
      </c>
      <c r="J10" s="1" t="s">
        <v>19</v>
      </c>
      <c r="K10" s="1">
        <v>12</v>
      </c>
      <c r="L10" s="1" t="s">
        <v>20</v>
      </c>
      <c r="M10" s="1" t="s">
        <v>26</v>
      </c>
      <c r="N10" s="1">
        <v>64</v>
      </c>
      <c r="O10" s="3" t="s">
        <v>31</v>
      </c>
    </row>
    <row r="11" spans="1:15" x14ac:dyDescent="0.25">
      <c r="A11" s="2" t="s">
        <v>46</v>
      </c>
      <c r="B11" s="1">
        <v>37</v>
      </c>
      <c r="C11" s="1" t="s">
        <v>16</v>
      </c>
      <c r="D11" s="1" t="s">
        <v>17</v>
      </c>
      <c r="E11" s="1" t="s">
        <v>38</v>
      </c>
      <c r="F11" s="1">
        <v>33014</v>
      </c>
      <c r="G11" s="14">
        <v>5</v>
      </c>
      <c r="H11" s="1">
        <v>3</v>
      </c>
      <c r="I11" s="1">
        <v>3</v>
      </c>
      <c r="J11" s="1" t="s">
        <v>19</v>
      </c>
      <c r="K11" s="1">
        <v>9</v>
      </c>
      <c r="L11" s="1" t="s">
        <v>20</v>
      </c>
      <c r="M11" s="1" t="s">
        <v>21</v>
      </c>
      <c r="N11" s="1">
        <v>63</v>
      </c>
      <c r="O11" s="3" t="s">
        <v>22</v>
      </c>
    </row>
    <row r="12" spans="1:15" x14ac:dyDescent="0.25">
      <c r="A12" s="2" t="s">
        <v>47</v>
      </c>
      <c r="B12" s="1">
        <v>37</v>
      </c>
      <c r="C12" s="1" t="s">
        <v>16</v>
      </c>
      <c r="D12" s="1" t="s">
        <v>24</v>
      </c>
      <c r="E12" s="1" t="s">
        <v>35</v>
      </c>
      <c r="F12" s="1">
        <v>99959</v>
      </c>
      <c r="G12" s="14">
        <v>3</v>
      </c>
      <c r="H12" s="1">
        <v>5</v>
      </c>
      <c r="I12" s="1">
        <v>5</v>
      </c>
      <c r="J12" s="1" t="s">
        <v>19</v>
      </c>
      <c r="K12" s="1">
        <v>4</v>
      </c>
      <c r="L12" s="1" t="s">
        <v>20</v>
      </c>
      <c r="M12" s="1" t="s">
        <v>21</v>
      </c>
      <c r="N12" s="1">
        <v>74</v>
      </c>
      <c r="O12" s="3" t="s">
        <v>31</v>
      </c>
    </row>
    <row r="13" spans="1:15" x14ac:dyDescent="0.25">
      <c r="A13" s="2" t="s">
        <v>48</v>
      </c>
      <c r="B13" s="1">
        <v>21</v>
      </c>
      <c r="C13" s="1" t="s">
        <v>28</v>
      </c>
      <c r="D13" s="1" t="s">
        <v>49</v>
      </c>
      <c r="E13" s="1" t="s">
        <v>35</v>
      </c>
      <c r="F13" s="1">
        <v>32662</v>
      </c>
      <c r="G13" s="14">
        <v>3</v>
      </c>
      <c r="H13" s="1">
        <v>3</v>
      </c>
      <c r="I13" s="1">
        <v>2</v>
      </c>
      <c r="J13" s="1" t="s">
        <v>19</v>
      </c>
      <c r="K13" s="1">
        <v>7</v>
      </c>
      <c r="L13" s="1" t="s">
        <v>19</v>
      </c>
      <c r="M13" s="1" t="s">
        <v>21</v>
      </c>
      <c r="N13" s="1">
        <v>67</v>
      </c>
      <c r="O13" s="3" t="s">
        <v>22</v>
      </c>
    </row>
    <row r="14" spans="1:15" x14ac:dyDescent="0.25">
      <c r="A14" s="2" t="s">
        <v>50</v>
      </c>
      <c r="B14" s="1">
        <v>55</v>
      </c>
      <c r="C14" s="1" t="s">
        <v>16</v>
      </c>
      <c r="D14" s="1" t="s">
        <v>51</v>
      </c>
      <c r="E14" s="1" t="s">
        <v>38</v>
      </c>
      <c r="F14" s="1">
        <v>80296</v>
      </c>
      <c r="G14" s="14">
        <v>5</v>
      </c>
      <c r="H14" s="1">
        <v>2</v>
      </c>
      <c r="I14" s="1">
        <v>3</v>
      </c>
      <c r="J14" s="1" t="s">
        <v>20</v>
      </c>
      <c r="K14" s="1">
        <v>6</v>
      </c>
      <c r="L14" s="1" t="s">
        <v>19</v>
      </c>
      <c r="M14" s="1" t="s">
        <v>26</v>
      </c>
      <c r="N14" s="1">
        <v>44</v>
      </c>
      <c r="O14" s="3" t="s">
        <v>42</v>
      </c>
    </row>
    <row r="15" spans="1:15" x14ac:dyDescent="0.25">
      <c r="A15" s="2" t="s">
        <v>52</v>
      </c>
      <c r="B15" s="1">
        <v>44</v>
      </c>
      <c r="C15" s="1" t="s">
        <v>28</v>
      </c>
      <c r="D15" s="1" t="s">
        <v>24</v>
      </c>
      <c r="E15" s="1" t="s">
        <v>33</v>
      </c>
      <c r="F15" s="1">
        <v>33860</v>
      </c>
      <c r="G15" s="14">
        <v>2</v>
      </c>
      <c r="H15" s="1">
        <v>2</v>
      </c>
      <c r="I15" s="1">
        <v>1</v>
      </c>
      <c r="J15" s="1" t="s">
        <v>20</v>
      </c>
      <c r="K15" s="1">
        <v>0</v>
      </c>
      <c r="L15" s="1" t="s">
        <v>19</v>
      </c>
      <c r="M15" s="1" t="s">
        <v>26</v>
      </c>
      <c r="N15" s="1">
        <v>33</v>
      </c>
      <c r="O15" s="3" t="s">
        <v>22</v>
      </c>
    </row>
    <row r="16" spans="1:15" x14ac:dyDescent="0.25">
      <c r="A16" s="2" t="s">
        <v>53</v>
      </c>
      <c r="B16" s="1">
        <v>25</v>
      </c>
      <c r="C16" s="1" t="s">
        <v>16</v>
      </c>
      <c r="D16" s="1" t="s">
        <v>51</v>
      </c>
      <c r="E16" s="1" t="s">
        <v>35</v>
      </c>
      <c r="F16" s="1">
        <v>22117</v>
      </c>
      <c r="G16" s="14">
        <v>3</v>
      </c>
      <c r="H16" s="1">
        <v>1</v>
      </c>
      <c r="I16" s="1">
        <v>5</v>
      </c>
      <c r="J16" s="1" t="s">
        <v>19</v>
      </c>
      <c r="K16" s="1">
        <v>8</v>
      </c>
      <c r="L16" s="1" t="s">
        <v>20</v>
      </c>
      <c r="M16" s="1" t="s">
        <v>21</v>
      </c>
      <c r="N16" s="1">
        <v>74</v>
      </c>
      <c r="O16" s="3" t="s">
        <v>44</v>
      </c>
    </row>
    <row r="17" spans="1:15" x14ac:dyDescent="0.25">
      <c r="A17" s="2" t="s">
        <v>54</v>
      </c>
      <c r="B17" s="1">
        <v>57</v>
      </c>
      <c r="C17" s="1" t="s">
        <v>28</v>
      </c>
      <c r="D17" s="1" t="s">
        <v>51</v>
      </c>
      <c r="E17" s="1" t="s">
        <v>549</v>
      </c>
      <c r="F17" s="1">
        <v>71354</v>
      </c>
      <c r="G17" s="14">
        <v>2</v>
      </c>
      <c r="H17" s="1">
        <v>1</v>
      </c>
      <c r="I17" s="1">
        <v>1</v>
      </c>
      <c r="J17" s="1" t="s">
        <v>20</v>
      </c>
      <c r="K17" s="1">
        <v>11</v>
      </c>
      <c r="L17" s="1" t="s">
        <v>20</v>
      </c>
      <c r="M17" s="1" t="s">
        <v>30</v>
      </c>
      <c r="N17" s="1">
        <v>64</v>
      </c>
      <c r="O17" s="3" t="s">
        <v>22</v>
      </c>
    </row>
    <row r="18" spans="1:15" x14ac:dyDescent="0.25">
      <c r="A18" s="2" t="s">
        <v>55</v>
      </c>
      <c r="B18" s="1">
        <v>27</v>
      </c>
      <c r="C18" s="1" t="s">
        <v>16</v>
      </c>
      <c r="D18" s="1" t="s">
        <v>49</v>
      </c>
      <c r="E18" s="1" t="s">
        <v>38</v>
      </c>
      <c r="F18" s="1">
        <v>62473</v>
      </c>
      <c r="G18" s="14">
        <v>3</v>
      </c>
      <c r="H18" s="1">
        <v>2</v>
      </c>
      <c r="I18" s="1">
        <v>2</v>
      </c>
      <c r="J18" s="1" t="s">
        <v>19</v>
      </c>
      <c r="K18" s="1">
        <v>17</v>
      </c>
      <c r="L18" s="1" t="s">
        <v>20</v>
      </c>
      <c r="M18" s="1" t="s">
        <v>21</v>
      </c>
      <c r="N18" s="1">
        <v>59</v>
      </c>
      <c r="O18" s="3" t="s">
        <v>44</v>
      </c>
    </row>
    <row r="19" spans="1:15" x14ac:dyDescent="0.25">
      <c r="A19" s="2" t="s">
        <v>56</v>
      </c>
      <c r="B19" s="1">
        <v>38</v>
      </c>
      <c r="C19" s="1" t="s">
        <v>28</v>
      </c>
      <c r="D19" s="1" t="s">
        <v>51</v>
      </c>
      <c r="E19" s="1" t="s">
        <v>548</v>
      </c>
      <c r="F19" s="1">
        <v>76082</v>
      </c>
      <c r="G19" s="14">
        <v>5</v>
      </c>
      <c r="H19" s="1">
        <v>3</v>
      </c>
      <c r="I19" s="1">
        <v>1</v>
      </c>
      <c r="J19" s="1" t="s">
        <v>19</v>
      </c>
      <c r="K19" s="1">
        <v>2</v>
      </c>
      <c r="L19" s="1" t="s">
        <v>19</v>
      </c>
      <c r="M19" s="1" t="s">
        <v>21</v>
      </c>
      <c r="N19" s="1">
        <v>57</v>
      </c>
      <c r="O19" s="3" t="s">
        <v>42</v>
      </c>
    </row>
    <row r="20" spans="1:15" x14ac:dyDescent="0.25">
      <c r="A20" s="2" t="s">
        <v>57</v>
      </c>
      <c r="B20" s="1">
        <v>51</v>
      </c>
      <c r="C20" s="1" t="s">
        <v>16</v>
      </c>
      <c r="D20" s="1" t="s">
        <v>49</v>
      </c>
      <c r="E20" s="1" t="s">
        <v>35</v>
      </c>
      <c r="F20" s="1">
        <v>39579</v>
      </c>
      <c r="G20" s="14">
        <v>4</v>
      </c>
      <c r="H20" s="1">
        <v>1</v>
      </c>
      <c r="I20" s="1">
        <v>4</v>
      </c>
      <c r="J20" s="1" t="s">
        <v>20</v>
      </c>
      <c r="K20" s="1">
        <v>14</v>
      </c>
      <c r="L20" s="1" t="s">
        <v>20</v>
      </c>
      <c r="M20" s="1" t="s">
        <v>30</v>
      </c>
      <c r="N20" s="1">
        <v>76</v>
      </c>
      <c r="O20" s="3" t="s">
        <v>42</v>
      </c>
    </row>
    <row r="21" spans="1:15" x14ac:dyDescent="0.25">
      <c r="A21" s="2" t="s">
        <v>58</v>
      </c>
      <c r="B21" s="1">
        <v>30</v>
      </c>
      <c r="C21" s="1" t="s">
        <v>16</v>
      </c>
      <c r="D21" s="1" t="s">
        <v>29</v>
      </c>
      <c r="E21" s="1" t="s">
        <v>551</v>
      </c>
      <c r="F21" s="1">
        <v>25665</v>
      </c>
      <c r="G21" s="14">
        <v>5</v>
      </c>
      <c r="H21" s="1">
        <v>5</v>
      </c>
      <c r="I21" s="1">
        <v>1</v>
      </c>
      <c r="J21" s="1" t="s">
        <v>20</v>
      </c>
      <c r="K21" s="1">
        <v>1</v>
      </c>
      <c r="L21" s="1" t="s">
        <v>19</v>
      </c>
      <c r="M21" s="1" t="s">
        <v>26</v>
      </c>
      <c r="N21" s="1">
        <v>66</v>
      </c>
      <c r="O21" s="3" t="s">
        <v>31</v>
      </c>
    </row>
    <row r="22" spans="1:15" x14ac:dyDescent="0.25">
      <c r="A22" s="2" t="s">
        <v>59</v>
      </c>
      <c r="B22" s="1">
        <v>54</v>
      </c>
      <c r="C22" s="1" t="s">
        <v>16</v>
      </c>
      <c r="D22" s="1" t="s">
        <v>40</v>
      </c>
      <c r="E22" s="1" t="s">
        <v>552</v>
      </c>
      <c r="F22" s="1">
        <v>28500</v>
      </c>
      <c r="G22" s="14">
        <v>2</v>
      </c>
      <c r="H22" s="1">
        <v>3</v>
      </c>
      <c r="I22" s="1">
        <v>5</v>
      </c>
      <c r="J22" s="1" t="s">
        <v>19</v>
      </c>
      <c r="K22" s="1">
        <v>7</v>
      </c>
      <c r="L22" s="1" t="s">
        <v>20</v>
      </c>
      <c r="M22" s="1" t="s">
        <v>21</v>
      </c>
      <c r="N22" s="1">
        <v>77</v>
      </c>
      <c r="O22" s="3" t="s">
        <v>44</v>
      </c>
    </row>
    <row r="23" spans="1:15" x14ac:dyDescent="0.25">
      <c r="A23" s="2" t="s">
        <v>60</v>
      </c>
      <c r="B23" s="1">
        <v>58</v>
      </c>
      <c r="C23" s="1" t="s">
        <v>16</v>
      </c>
      <c r="D23" s="1" t="s">
        <v>24</v>
      </c>
      <c r="E23" s="1" t="s">
        <v>554</v>
      </c>
      <c r="F23" s="1">
        <v>72948</v>
      </c>
      <c r="G23" s="14">
        <v>5</v>
      </c>
      <c r="H23" s="1">
        <v>5</v>
      </c>
      <c r="I23" s="1">
        <v>5</v>
      </c>
      <c r="J23" s="1" t="s">
        <v>20</v>
      </c>
      <c r="K23" s="1">
        <v>8</v>
      </c>
      <c r="L23" s="1" t="s">
        <v>19</v>
      </c>
      <c r="M23" s="1" t="s">
        <v>26</v>
      </c>
      <c r="N23" s="1">
        <v>45</v>
      </c>
      <c r="O23" s="3" t="s">
        <v>44</v>
      </c>
    </row>
    <row r="24" spans="1:15" x14ac:dyDescent="0.25">
      <c r="A24" s="2" t="s">
        <v>61</v>
      </c>
      <c r="B24" s="1">
        <v>37</v>
      </c>
      <c r="C24" s="1" t="s">
        <v>28</v>
      </c>
      <c r="D24" s="1" t="s">
        <v>51</v>
      </c>
      <c r="E24" s="1" t="s">
        <v>38</v>
      </c>
      <c r="F24" s="1">
        <v>102607</v>
      </c>
      <c r="G24" s="14">
        <v>3</v>
      </c>
      <c r="H24" s="1">
        <v>3</v>
      </c>
      <c r="I24" s="1">
        <v>3</v>
      </c>
      <c r="J24" s="1" t="s">
        <v>19</v>
      </c>
      <c r="K24" s="1">
        <v>0</v>
      </c>
      <c r="L24" s="1" t="s">
        <v>20</v>
      </c>
      <c r="M24" s="1" t="s">
        <v>26</v>
      </c>
      <c r="N24" s="1">
        <v>77</v>
      </c>
      <c r="O24" s="3" t="s">
        <v>22</v>
      </c>
    </row>
    <row r="25" spans="1:15" x14ac:dyDescent="0.25">
      <c r="A25" s="2" t="s">
        <v>62</v>
      </c>
      <c r="B25" s="1">
        <v>25</v>
      </c>
      <c r="C25" s="1" t="s">
        <v>16</v>
      </c>
      <c r="D25" s="1" t="s">
        <v>24</v>
      </c>
      <c r="E25" s="1" t="s">
        <v>18</v>
      </c>
      <c r="F25" s="1">
        <v>35361</v>
      </c>
      <c r="G25" s="14">
        <v>3</v>
      </c>
      <c r="H25" s="1">
        <v>1</v>
      </c>
      <c r="I25" s="1">
        <v>2</v>
      </c>
      <c r="J25" s="1" t="s">
        <v>20</v>
      </c>
      <c r="K25" s="1">
        <v>9</v>
      </c>
      <c r="L25" s="1" t="s">
        <v>19</v>
      </c>
      <c r="M25" s="1" t="s">
        <v>30</v>
      </c>
      <c r="N25" s="1">
        <v>74</v>
      </c>
      <c r="O25" s="3" t="s">
        <v>36</v>
      </c>
    </row>
    <row r="26" spans="1:15" x14ac:dyDescent="0.25">
      <c r="A26" s="2" t="s">
        <v>63</v>
      </c>
      <c r="B26" s="1">
        <v>54</v>
      </c>
      <c r="C26" s="1" t="s">
        <v>16</v>
      </c>
      <c r="D26" s="1" t="s">
        <v>17</v>
      </c>
      <c r="E26" s="1" t="s">
        <v>25</v>
      </c>
      <c r="F26" s="1">
        <v>57240</v>
      </c>
      <c r="G26" s="14">
        <v>1</v>
      </c>
      <c r="H26" s="1">
        <v>2</v>
      </c>
      <c r="I26" s="1">
        <v>3</v>
      </c>
      <c r="J26" s="1" t="s">
        <v>19</v>
      </c>
      <c r="K26" s="1">
        <v>3</v>
      </c>
      <c r="L26" s="1" t="s">
        <v>19</v>
      </c>
      <c r="M26" s="1" t="s">
        <v>30</v>
      </c>
      <c r="N26" s="1">
        <v>41</v>
      </c>
      <c r="O26" s="3" t="s">
        <v>31</v>
      </c>
    </row>
    <row r="27" spans="1:15" x14ac:dyDescent="0.25">
      <c r="A27" s="2" t="s">
        <v>64</v>
      </c>
      <c r="B27" s="1">
        <v>34</v>
      </c>
      <c r="C27" s="1" t="s">
        <v>28</v>
      </c>
      <c r="D27" s="1" t="s">
        <v>51</v>
      </c>
      <c r="E27" s="1" t="s">
        <v>38</v>
      </c>
      <c r="F27" s="1">
        <v>101130</v>
      </c>
      <c r="G27" s="14">
        <v>3</v>
      </c>
      <c r="H27" s="1">
        <v>5</v>
      </c>
      <c r="I27" s="1">
        <v>4</v>
      </c>
      <c r="J27" s="1" t="s">
        <v>20</v>
      </c>
      <c r="K27" s="1">
        <v>1</v>
      </c>
      <c r="L27" s="1" t="s">
        <v>19</v>
      </c>
      <c r="M27" s="1" t="s">
        <v>26</v>
      </c>
      <c r="N27" s="1">
        <v>59</v>
      </c>
      <c r="O27" s="3" t="s">
        <v>36</v>
      </c>
    </row>
    <row r="28" spans="1:15" x14ac:dyDescent="0.25">
      <c r="A28" s="2" t="s">
        <v>65</v>
      </c>
      <c r="B28" s="1">
        <v>23</v>
      </c>
      <c r="C28" s="1" t="s">
        <v>16</v>
      </c>
      <c r="D28" s="1" t="s">
        <v>29</v>
      </c>
      <c r="E28" s="1" t="s">
        <v>41</v>
      </c>
      <c r="F28" s="1">
        <v>101507</v>
      </c>
      <c r="G28" s="14">
        <v>3</v>
      </c>
      <c r="H28" s="1">
        <v>2</v>
      </c>
      <c r="I28" s="1">
        <v>4</v>
      </c>
      <c r="J28" s="1" t="s">
        <v>20</v>
      </c>
      <c r="K28" s="1">
        <v>17</v>
      </c>
      <c r="L28" s="1" t="s">
        <v>19</v>
      </c>
      <c r="M28" s="1" t="s">
        <v>21</v>
      </c>
      <c r="N28" s="1">
        <v>14</v>
      </c>
      <c r="O28" s="3" t="s">
        <v>44</v>
      </c>
    </row>
    <row r="29" spans="1:15" x14ac:dyDescent="0.25">
      <c r="A29" s="2" t="s">
        <v>66</v>
      </c>
      <c r="B29" s="1">
        <v>55</v>
      </c>
      <c r="C29" s="1" t="s">
        <v>16</v>
      </c>
      <c r="D29" s="1" t="s">
        <v>29</v>
      </c>
      <c r="E29" s="1" t="s">
        <v>25</v>
      </c>
      <c r="F29" s="1">
        <v>90420</v>
      </c>
      <c r="G29" s="14">
        <v>2</v>
      </c>
      <c r="H29" s="1">
        <v>4</v>
      </c>
      <c r="I29" s="1">
        <v>2</v>
      </c>
      <c r="J29" s="1" t="s">
        <v>19</v>
      </c>
      <c r="K29" s="1">
        <v>9</v>
      </c>
      <c r="L29" s="1" t="s">
        <v>20</v>
      </c>
      <c r="M29" s="1" t="s">
        <v>21</v>
      </c>
      <c r="N29" s="1">
        <v>50</v>
      </c>
      <c r="O29" s="3" t="s">
        <v>44</v>
      </c>
    </row>
    <row r="30" spans="1:15" x14ac:dyDescent="0.25">
      <c r="A30" s="2" t="s">
        <v>67</v>
      </c>
      <c r="B30" s="1">
        <v>36</v>
      </c>
      <c r="C30" s="1" t="s">
        <v>16</v>
      </c>
      <c r="D30" s="1" t="s">
        <v>29</v>
      </c>
      <c r="E30" s="1" t="s">
        <v>25</v>
      </c>
      <c r="F30" s="1">
        <v>71264</v>
      </c>
      <c r="G30" s="14">
        <v>5</v>
      </c>
      <c r="H30" s="1">
        <v>2</v>
      </c>
      <c r="I30" s="1">
        <v>2</v>
      </c>
      <c r="J30" s="1" t="s">
        <v>19</v>
      </c>
      <c r="K30" s="1">
        <v>5</v>
      </c>
      <c r="L30" s="1" t="s">
        <v>20</v>
      </c>
      <c r="M30" s="1" t="s">
        <v>21</v>
      </c>
      <c r="N30" s="1">
        <v>27</v>
      </c>
      <c r="O30" s="3" t="s">
        <v>36</v>
      </c>
    </row>
    <row r="31" spans="1:15" x14ac:dyDescent="0.25">
      <c r="A31" s="2" t="s">
        <v>68</v>
      </c>
      <c r="B31" s="1">
        <v>47</v>
      </c>
      <c r="C31" s="1" t="s">
        <v>16</v>
      </c>
      <c r="D31" s="1" t="s">
        <v>29</v>
      </c>
      <c r="E31" s="1" t="s">
        <v>41</v>
      </c>
      <c r="F31" s="1">
        <v>109917</v>
      </c>
      <c r="G31" s="14">
        <v>1</v>
      </c>
      <c r="H31" s="1">
        <v>4</v>
      </c>
      <c r="I31" s="1">
        <v>1</v>
      </c>
      <c r="J31" s="1" t="s">
        <v>20</v>
      </c>
      <c r="K31" s="1">
        <v>7</v>
      </c>
      <c r="L31" s="1" t="s">
        <v>19</v>
      </c>
      <c r="M31" s="1" t="s">
        <v>30</v>
      </c>
      <c r="N31" s="1">
        <v>49</v>
      </c>
      <c r="O31" s="3" t="s">
        <v>36</v>
      </c>
    </row>
    <row r="32" spans="1:15" x14ac:dyDescent="0.25">
      <c r="A32" s="2" t="s">
        <v>69</v>
      </c>
      <c r="B32" s="1">
        <v>35</v>
      </c>
      <c r="C32" s="1" t="s">
        <v>16</v>
      </c>
      <c r="D32" s="1" t="s">
        <v>40</v>
      </c>
      <c r="E32" s="1" t="s">
        <v>38</v>
      </c>
      <c r="F32" s="1">
        <v>43313</v>
      </c>
      <c r="G32" s="14">
        <v>3</v>
      </c>
      <c r="H32" s="1">
        <v>3</v>
      </c>
      <c r="I32" s="1">
        <v>3</v>
      </c>
      <c r="J32" s="1" t="s">
        <v>19</v>
      </c>
      <c r="K32" s="1">
        <v>8</v>
      </c>
      <c r="L32" s="1" t="s">
        <v>20</v>
      </c>
      <c r="M32" s="1" t="s">
        <v>26</v>
      </c>
      <c r="N32" s="1">
        <v>70</v>
      </c>
      <c r="O32" s="3" t="s">
        <v>42</v>
      </c>
    </row>
    <row r="33" spans="1:15" x14ac:dyDescent="0.25">
      <c r="A33" s="2" t="s">
        <v>70</v>
      </c>
      <c r="B33" s="1">
        <v>55</v>
      </c>
      <c r="C33" s="1" t="s">
        <v>28</v>
      </c>
      <c r="D33" s="1" t="s">
        <v>40</v>
      </c>
      <c r="E33" s="1" t="s">
        <v>35</v>
      </c>
      <c r="F33" s="1">
        <v>52237</v>
      </c>
      <c r="G33" s="14">
        <v>2</v>
      </c>
      <c r="H33" s="1">
        <v>5</v>
      </c>
      <c r="I33" s="1">
        <v>3</v>
      </c>
      <c r="J33" s="1" t="s">
        <v>19</v>
      </c>
      <c r="K33" s="1">
        <v>3</v>
      </c>
      <c r="L33" s="1" t="s">
        <v>20</v>
      </c>
      <c r="M33" s="1" t="s">
        <v>30</v>
      </c>
      <c r="N33" s="1">
        <v>45</v>
      </c>
      <c r="O33" s="3" t="s">
        <v>42</v>
      </c>
    </row>
    <row r="34" spans="1:15" x14ac:dyDescent="0.25">
      <c r="A34" s="2" t="s">
        <v>71</v>
      </c>
      <c r="B34" s="1">
        <v>53</v>
      </c>
      <c r="C34" s="1" t="s">
        <v>16</v>
      </c>
      <c r="D34" s="1" t="s">
        <v>49</v>
      </c>
      <c r="E34" s="1" t="s">
        <v>25</v>
      </c>
      <c r="F34" s="1">
        <v>42914</v>
      </c>
      <c r="G34" s="14">
        <v>3</v>
      </c>
      <c r="H34" s="1">
        <v>1</v>
      </c>
      <c r="I34" s="1">
        <v>4</v>
      </c>
      <c r="J34" s="1" t="s">
        <v>19</v>
      </c>
      <c r="K34" s="1">
        <v>16</v>
      </c>
      <c r="L34" s="1" t="s">
        <v>19</v>
      </c>
      <c r="M34" s="1" t="s">
        <v>30</v>
      </c>
      <c r="N34" s="1">
        <v>60</v>
      </c>
      <c r="O34" s="3" t="s">
        <v>22</v>
      </c>
    </row>
    <row r="35" spans="1:15" x14ac:dyDescent="0.25">
      <c r="A35" s="2" t="s">
        <v>72</v>
      </c>
      <c r="B35" s="1">
        <v>42</v>
      </c>
      <c r="C35" s="1" t="s">
        <v>28</v>
      </c>
      <c r="D35" s="1" t="s">
        <v>17</v>
      </c>
      <c r="E35" s="1" t="s">
        <v>35</v>
      </c>
      <c r="F35" s="1">
        <v>112339</v>
      </c>
      <c r="G35" s="14">
        <v>3</v>
      </c>
      <c r="H35" s="1">
        <v>5</v>
      </c>
      <c r="I35" s="1">
        <v>3</v>
      </c>
      <c r="J35" s="1" t="s">
        <v>20</v>
      </c>
      <c r="K35" s="1">
        <v>10</v>
      </c>
      <c r="L35" s="1" t="s">
        <v>20</v>
      </c>
      <c r="M35" s="1" t="s">
        <v>26</v>
      </c>
      <c r="N35" s="1">
        <v>42</v>
      </c>
      <c r="O35" s="3" t="s">
        <v>31</v>
      </c>
    </row>
    <row r="36" spans="1:15" x14ac:dyDescent="0.25">
      <c r="A36" s="2" t="s">
        <v>73</v>
      </c>
      <c r="B36" s="1">
        <v>29</v>
      </c>
      <c r="C36" s="1" t="s">
        <v>16</v>
      </c>
      <c r="D36" s="1" t="s">
        <v>49</v>
      </c>
      <c r="E36" s="1" t="s">
        <v>38</v>
      </c>
      <c r="F36" s="1">
        <v>67695</v>
      </c>
      <c r="G36" s="14">
        <v>2</v>
      </c>
      <c r="H36" s="1">
        <v>5</v>
      </c>
      <c r="I36" s="1">
        <v>5</v>
      </c>
      <c r="J36" s="1" t="s">
        <v>20</v>
      </c>
      <c r="K36" s="1">
        <v>12</v>
      </c>
      <c r="L36" s="1" t="s">
        <v>19</v>
      </c>
      <c r="M36" s="1" t="s">
        <v>30</v>
      </c>
      <c r="N36" s="1">
        <v>41</v>
      </c>
      <c r="O36" s="3" t="s">
        <v>44</v>
      </c>
    </row>
    <row r="37" spans="1:15" x14ac:dyDescent="0.25">
      <c r="A37" s="2" t="s">
        <v>74</v>
      </c>
      <c r="B37" s="1">
        <v>48</v>
      </c>
      <c r="C37" s="1" t="s">
        <v>28</v>
      </c>
      <c r="D37" s="1" t="s">
        <v>49</v>
      </c>
      <c r="E37" s="1" t="s">
        <v>33</v>
      </c>
      <c r="F37" s="1">
        <v>75954</v>
      </c>
      <c r="G37" s="14">
        <v>2</v>
      </c>
      <c r="H37" s="1">
        <v>5</v>
      </c>
      <c r="I37" s="1">
        <v>4</v>
      </c>
      <c r="J37" s="1" t="s">
        <v>19</v>
      </c>
      <c r="K37" s="1">
        <v>2</v>
      </c>
      <c r="L37" s="1" t="s">
        <v>20</v>
      </c>
      <c r="M37" s="1" t="s">
        <v>26</v>
      </c>
      <c r="N37" s="1">
        <v>47</v>
      </c>
      <c r="O37" s="3" t="s">
        <v>22</v>
      </c>
    </row>
    <row r="38" spans="1:15" x14ac:dyDescent="0.25">
      <c r="A38" s="2" t="s">
        <v>75</v>
      </c>
      <c r="B38" s="1">
        <v>36</v>
      </c>
      <c r="C38" s="1" t="s">
        <v>28</v>
      </c>
      <c r="D38" s="1" t="s">
        <v>51</v>
      </c>
      <c r="E38" s="1" t="s">
        <v>41</v>
      </c>
      <c r="F38" s="1">
        <v>37313</v>
      </c>
      <c r="G38" s="14">
        <v>1</v>
      </c>
      <c r="H38" s="1">
        <v>1</v>
      </c>
      <c r="I38" s="1">
        <v>2</v>
      </c>
      <c r="J38" s="1" t="s">
        <v>20</v>
      </c>
      <c r="K38" s="1">
        <v>19</v>
      </c>
      <c r="L38" s="1" t="s">
        <v>19</v>
      </c>
      <c r="M38" s="1" t="s">
        <v>30</v>
      </c>
      <c r="N38" s="1">
        <v>58</v>
      </c>
      <c r="O38" s="3" t="s">
        <v>31</v>
      </c>
    </row>
    <row r="39" spans="1:15" x14ac:dyDescent="0.25">
      <c r="A39" s="2" t="s">
        <v>76</v>
      </c>
      <c r="B39" s="1">
        <v>33</v>
      </c>
      <c r="C39" s="1" t="s">
        <v>28</v>
      </c>
      <c r="D39" s="1" t="s">
        <v>49</v>
      </c>
      <c r="E39" s="1" t="s">
        <v>33</v>
      </c>
      <c r="F39" s="1">
        <v>49979</v>
      </c>
      <c r="G39" s="14">
        <v>2</v>
      </c>
      <c r="H39" s="1">
        <v>1</v>
      </c>
      <c r="I39" s="1">
        <v>1</v>
      </c>
      <c r="J39" s="1" t="s">
        <v>20</v>
      </c>
      <c r="K39" s="1">
        <v>7</v>
      </c>
      <c r="L39" s="1" t="s">
        <v>19</v>
      </c>
      <c r="M39" s="1" t="s">
        <v>26</v>
      </c>
      <c r="N39" s="1">
        <v>71</v>
      </c>
      <c r="O39" s="3" t="s">
        <v>42</v>
      </c>
    </row>
    <row r="40" spans="1:15" x14ac:dyDescent="0.25">
      <c r="A40" s="2" t="s">
        <v>77</v>
      </c>
      <c r="B40" s="1">
        <v>24</v>
      </c>
      <c r="C40" s="1" t="s">
        <v>16</v>
      </c>
      <c r="D40" s="1" t="s">
        <v>40</v>
      </c>
      <c r="E40" s="1" t="s">
        <v>33</v>
      </c>
      <c r="F40" s="1">
        <v>35477</v>
      </c>
      <c r="G40" s="14">
        <v>4</v>
      </c>
      <c r="H40" s="1">
        <v>5</v>
      </c>
      <c r="I40" s="1">
        <v>5</v>
      </c>
      <c r="J40" s="1" t="s">
        <v>20</v>
      </c>
      <c r="K40" s="1">
        <v>14</v>
      </c>
      <c r="L40" s="1" t="s">
        <v>20</v>
      </c>
      <c r="M40" s="1" t="s">
        <v>26</v>
      </c>
      <c r="N40" s="1">
        <v>62</v>
      </c>
      <c r="O40" s="3" t="s">
        <v>44</v>
      </c>
    </row>
    <row r="41" spans="1:15" x14ac:dyDescent="0.25">
      <c r="A41" s="2" t="s">
        <v>78</v>
      </c>
      <c r="B41" s="1">
        <v>51</v>
      </c>
      <c r="C41" s="1" t="s">
        <v>28</v>
      </c>
      <c r="D41" s="1" t="s">
        <v>29</v>
      </c>
      <c r="E41" s="1" t="s">
        <v>41</v>
      </c>
      <c r="F41" s="1">
        <v>101579</v>
      </c>
      <c r="G41" s="14">
        <v>3</v>
      </c>
      <c r="H41" s="1">
        <v>5</v>
      </c>
      <c r="I41" s="1">
        <v>4</v>
      </c>
      <c r="J41" s="1" t="s">
        <v>19</v>
      </c>
      <c r="K41" s="1">
        <v>8</v>
      </c>
      <c r="L41" s="1" t="s">
        <v>20</v>
      </c>
      <c r="M41" s="1" t="s">
        <v>21</v>
      </c>
      <c r="N41" s="1">
        <v>41</v>
      </c>
      <c r="O41" s="3" t="s">
        <v>44</v>
      </c>
    </row>
    <row r="42" spans="1:15" x14ac:dyDescent="0.25">
      <c r="A42" s="2" t="s">
        <v>79</v>
      </c>
      <c r="B42" s="1">
        <v>38</v>
      </c>
      <c r="C42" s="1" t="s">
        <v>28</v>
      </c>
      <c r="D42" s="1" t="s">
        <v>29</v>
      </c>
      <c r="E42" s="1" t="s">
        <v>25</v>
      </c>
      <c r="F42" s="1">
        <v>28561</v>
      </c>
      <c r="G42" s="14">
        <v>2</v>
      </c>
      <c r="H42" s="1">
        <v>2</v>
      </c>
      <c r="I42" s="1">
        <v>2</v>
      </c>
      <c r="J42" s="1" t="s">
        <v>20</v>
      </c>
      <c r="K42" s="1">
        <v>4</v>
      </c>
      <c r="L42" s="1" t="s">
        <v>19</v>
      </c>
      <c r="M42" s="1" t="s">
        <v>21</v>
      </c>
      <c r="N42" s="1">
        <v>58</v>
      </c>
      <c r="O42" s="3" t="s">
        <v>42</v>
      </c>
    </row>
    <row r="43" spans="1:15" x14ac:dyDescent="0.25">
      <c r="A43" s="2" t="s">
        <v>80</v>
      </c>
      <c r="B43" s="1">
        <v>42</v>
      </c>
      <c r="C43" s="1" t="s">
        <v>28</v>
      </c>
      <c r="D43" s="1" t="s">
        <v>49</v>
      </c>
      <c r="E43" s="1" t="s">
        <v>35</v>
      </c>
      <c r="F43" s="1">
        <v>45110</v>
      </c>
      <c r="G43" s="14">
        <v>4</v>
      </c>
      <c r="H43" s="1">
        <v>4</v>
      </c>
      <c r="I43" s="1">
        <v>5</v>
      </c>
      <c r="J43" s="1" t="s">
        <v>19</v>
      </c>
      <c r="K43" s="1">
        <v>18</v>
      </c>
      <c r="L43" s="1" t="s">
        <v>20</v>
      </c>
      <c r="M43" s="1" t="s">
        <v>30</v>
      </c>
      <c r="N43" s="1">
        <v>5</v>
      </c>
      <c r="O43" s="3" t="s">
        <v>36</v>
      </c>
    </row>
    <row r="44" spans="1:15" x14ac:dyDescent="0.25">
      <c r="A44" s="2" t="s">
        <v>81</v>
      </c>
      <c r="B44" s="1">
        <v>40</v>
      </c>
      <c r="C44" s="1" t="s">
        <v>28</v>
      </c>
      <c r="D44" s="1" t="s">
        <v>49</v>
      </c>
      <c r="E44" s="1" t="s">
        <v>25</v>
      </c>
      <c r="F44" s="1">
        <v>115978</v>
      </c>
      <c r="G44" s="14">
        <v>5</v>
      </c>
      <c r="H44" s="1">
        <v>5</v>
      </c>
      <c r="I44" s="1">
        <v>2</v>
      </c>
      <c r="J44" s="1" t="s">
        <v>20</v>
      </c>
      <c r="K44" s="1">
        <v>7</v>
      </c>
      <c r="L44" s="1" t="s">
        <v>20</v>
      </c>
      <c r="M44" s="1" t="s">
        <v>30</v>
      </c>
      <c r="N44" s="1">
        <v>67</v>
      </c>
      <c r="O44" s="3" t="s">
        <v>22</v>
      </c>
    </row>
    <row r="45" spans="1:15" x14ac:dyDescent="0.25">
      <c r="A45" s="2" t="s">
        <v>82</v>
      </c>
      <c r="B45" s="1">
        <v>45</v>
      </c>
      <c r="C45" s="1" t="s">
        <v>28</v>
      </c>
      <c r="D45" s="1" t="s">
        <v>17</v>
      </c>
      <c r="E45" s="1" t="s">
        <v>38</v>
      </c>
      <c r="F45" s="1">
        <v>70994</v>
      </c>
      <c r="G45" s="14">
        <v>2</v>
      </c>
      <c r="H45" s="1">
        <v>4</v>
      </c>
      <c r="I45" s="1">
        <v>2</v>
      </c>
      <c r="J45" s="1" t="s">
        <v>19</v>
      </c>
      <c r="K45" s="1">
        <v>12</v>
      </c>
      <c r="L45" s="1" t="s">
        <v>19</v>
      </c>
      <c r="M45" s="1" t="s">
        <v>21</v>
      </c>
      <c r="N45" s="1">
        <v>59</v>
      </c>
      <c r="O45" s="3" t="s">
        <v>44</v>
      </c>
    </row>
    <row r="46" spans="1:15" x14ac:dyDescent="0.25">
      <c r="A46" s="2" t="s">
        <v>83</v>
      </c>
      <c r="B46" s="1">
        <v>39</v>
      </c>
      <c r="C46" s="1" t="s">
        <v>16</v>
      </c>
      <c r="D46" s="1" t="s">
        <v>40</v>
      </c>
      <c r="E46" s="1" t="s">
        <v>18</v>
      </c>
      <c r="F46" s="1">
        <v>67689</v>
      </c>
      <c r="G46" s="14">
        <v>3</v>
      </c>
      <c r="H46" s="1">
        <v>2</v>
      </c>
      <c r="I46" s="1">
        <v>4</v>
      </c>
      <c r="J46" s="1" t="s">
        <v>20</v>
      </c>
      <c r="K46" s="1">
        <v>10</v>
      </c>
      <c r="L46" s="1" t="s">
        <v>20</v>
      </c>
      <c r="M46" s="1" t="s">
        <v>30</v>
      </c>
      <c r="N46" s="1">
        <v>58</v>
      </c>
      <c r="O46" s="3" t="s">
        <v>36</v>
      </c>
    </row>
    <row r="47" spans="1:15" x14ac:dyDescent="0.25">
      <c r="A47" s="2" t="s">
        <v>84</v>
      </c>
      <c r="B47" s="1">
        <v>26</v>
      </c>
      <c r="C47" s="1" t="s">
        <v>28</v>
      </c>
      <c r="D47" s="1" t="s">
        <v>40</v>
      </c>
      <c r="E47" s="1" t="s">
        <v>38</v>
      </c>
      <c r="F47" s="1">
        <v>88702</v>
      </c>
      <c r="G47" s="14">
        <v>1</v>
      </c>
      <c r="H47" s="1">
        <v>3</v>
      </c>
      <c r="I47" s="1">
        <v>2</v>
      </c>
      <c r="J47" s="1" t="s">
        <v>19</v>
      </c>
      <c r="K47" s="1">
        <v>20</v>
      </c>
      <c r="L47" s="1" t="s">
        <v>19</v>
      </c>
      <c r="M47" s="1" t="s">
        <v>21</v>
      </c>
      <c r="N47" s="1">
        <v>36</v>
      </c>
      <c r="O47" s="3" t="s">
        <v>44</v>
      </c>
    </row>
    <row r="48" spans="1:15" x14ac:dyDescent="0.25">
      <c r="A48" s="2" t="s">
        <v>85</v>
      </c>
      <c r="B48" s="1">
        <v>22</v>
      </c>
      <c r="C48" s="1" t="s">
        <v>16</v>
      </c>
      <c r="D48" s="1" t="s">
        <v>51</v>
      </c>
      <c r="E48" s="1" t="s">
        <v>41</v>
      </c>
      <c r="F48" s="1">
        <v>80070</v>
      </c>
      <c r="G48" s="14">
        <v>1</v>
      </c>
      <c r="H48" s="1">
        <v>5</v>
      </c>
      <c r="I48" s="1">
        <v>2</v>
      </c>
      <c r="J48" s="1" t="s">
        <v>20</v>
      </c>
      <c r="K48" s="1">
        <v>8</v>
      </c>
      <c r="L48" s="1" t="s">
        <v>20</v>
      </c>
      <c r="M48" s="1" t="s">
        <v>21</v>
      </c>
      <c r="N48" s="1">
        <v>19</v>
      </c>
      <c r="O48" s="3" t="s">
        <v>44</v>
      </c>
    </row>
    <row r="49" spans="1:15" x14ac:dyDescent="0.25">
      <c r="A49" s="2" t="s">
        <v>86</v>
      </c>
      <c r="B49" s="1">
        <v>40</v>
      </c>
      <c r="C49" s="1" t="s">
        <v>16</v>
      </c>
      <c r="D49" s="1" t="s">
        <v>24</v>
      </c>
      <c r="E49" s="1" t="s">
        <v>35</v>
      </c>
      <c r="F49" s="1">
        <v>58888</v>
      </c>
      <c r="G49" s="14">
        <v>5</v>
      </c>
      <c r="H49" s="1">
        <v>4</v>
      </c>
      <c r="I49" s="1">
        <v>4</v>
      </c>
      <c r="J49" s="1" t="s">
        <v>19</v>
      </c>
      <c r="K49" s="1">
        <v>2</v>
      </c>
      <c r="L49" s="1" t="s">
        <v>19</v>
      </c>
      <c r="M49" s="1" t="s">
        <v>21</v>
      </c>
      <c r="N49" s="1">
        <v>43</v>
      </c>
      <c r="O49" s="3" t="s">
        <v>31</v>
      </c>
    </row>
    <row r="50" spans="1:15" x14ac:dyDescent="0.25">
      <c r="A50" s="2" t="s">
        <v>87</v>
      </c>
      <c r="B50" s="1">
        <v>28</v>
      </c>
      <c r="C50" s="1" t="s">
        <v>16</v>
      </c>
      <c r="D50" s="1" t="s">
        <v>29</v>
      </c>
      <c r="E50" s="1" t="s">
        <v>25</v>
      </c>
      <c r="F50" s="1">
        <v>74148</v>
      </c>
      <c r="G50" s="14">
        <v>3</v>
      </c>
      <c r="H50" s="1">
        <v>1</v>
      </c>
      <c r="I50" s="1">
        <v>5</v>
      </c>
      <c r="J50" s="1" t="s">
        <v>20</v>
      </c>
      <c r="K50" s="1">
        <v>0</v>
      </c>
      <c r="L50" s="1" t="s">
        <v>20</v>
      </c>
      <c r="M50" s="1" t="s">
        <v>30</v>
      </c>
      <c r="N50" s="1">
        <v>18</v>
      </c>
      <c r="O50" s="3" t="s">
        <v>42</v>
      </c>
    </row>
    <row r="51" spans="1:15" x14ac:dyDescent="0.25">
      <c r="A51" s="2" t="s">
        <v>88</v>
      </c>
      <c r="B51" s="1">
        <v>44</v>
      </c>
      <c r="C51" s="1" t="s">
        <v>28</v>
      </c>
      <c r="D51" s="1" t="s">
        <v>17</v>
      </c>
      <c r="E51" s="1" t="s">
        <v>41</v>
      </c>
      <c r="F51" s="1">
        <v>75080</v>
      </c>
      <c r="G51" s="14">
        <v>2</v>
      </c>
      <c r="H51" s="1">
        <v>5</v>
      </c>
      <c r="I51" s="1">
        <v>3</v>
      </c>
      <c r="J51" s="1" t="s">
        <v>20</v>
      </c>
      <c r="K51" s="1">
        <v>14</v>
      </c>
      <c r="L51" s="1" t="s">
        <v>20</v>
      </c>
      <c r="M51" s="1" t="s">
        <v>26</v>
      </c>
      <c r="N51" s="1">
        <v>80</v>
      </c>
      <c r="O51" s="3" t="s">
        <v>36</v>
      </c>
    </row>
    <row r="52" spans="1:15" x14ac:dyDescent="0.25">
      <c r="A52" s="2" t="s">
        <v>89</v>
      </c>
      <c r="B52" s="1">
        <v>41</v>
      </c>
      <c r="C52" s="1" t="s">
        <v>16</v>
      </c>
      <c r="D52" s="1" t="s">
        <v>40</v>
      </c>
      <c r="E52" s="1" t="s">
        <v>18</v>
      </c>
      <c r="F52" s="1">
        <v>77087</v>
      </c>
      <c r="G52" s="14">
        <v>2</v>
      </c>
      <c r="H52" s="1">
        <v>3</v>
      </c>
      <c r="I52" s="1">
        <v>5</v>
      </c>
      <c r="J52" s="1" t="s">
        <v>20</v>
      </c>
      <c r="K52" s="1">
        <v>10</v>
      </c>
      <c r="L52" s="1" t="s">
        <v>19</v>
      </c>
      <c r="M52" s="1" t="s">
        <v>30</v>
      </c>
      <c r="N52" s="1">
        <v>46</v>
      </c>
      <c r="O52" s="3" t="s">
        <v>44</v>
      </c>
    </row>
    <row r="53" spans="1:15" x14ac:dyDescent="0.25">
      <c r="A53" s="2" t="s">
        <v>90</v>
      </c>
      <c r="B53" s="1">
        <v>52</v>
      </c>
      <c r="C53" s="1" t="s">
        <v>16</v>
      </c>
      <c r="D53" s="1" t="s">
        <v>29</v>
      </c>
      <c r="E53" s="1" t="s">
        <v>18</v>
      </c>
      <c r="F53" s="1">
        <v>62608</v>
      </c>
      <c r="G53" s="14">
        <v>3</v>
      </c>
      <c r="H53" s="1">
        <v>5</v>
      </c>
      <c r="I53" s="1">
        <v>3</v>
      </c>
      <c r="J53" s="1" t="s">
        <v>19</v>
      </c>
      <c r="K53" s="1">
        <v>16</v>
      </c>
      <c r="L53" s="1" t="s">
        <v>19</v>
      </c>
      <c r="M53" s="1" t="s">
        <v>21</v>
      </c>
      <c r="N53" s="1">
        <v>35</v>
      </c>
      <c r="O53" s="3" t="s">
        <v>42</v>
      </c>
    </row>
    <row r="54" spans="1:15" x14ac:dyDescent="0.25">
      <c r="A54" s="2" t="s">
        <v>91</v>
      </c>
      <c r="B54" s="1">
        <v>52</v>
      </c>
      <c r="C54" s="1" t="s">
        <v>16</v>
      </c>
      <c r="D54" s="1" t="s">
        <v>17</v>
      </c>
      <c r="E54" s="1" t="s">
        <v>33</v>
      </c>
      <c r="F54" s="1">
        <v>102659</v>
      </c>
      <c r="G54" s="14">
        <v>4</v>
      </c>
      <c r="H54" s="1">
        <v>4</v>
      </c>
      <c r="I54" s="1">
        <v>1</v>
      </c>
      <c r="J54" s="1" t="s">
        <v>19</v>
      </c>
      <c r="K54" s="1">
        <v>9</v>
      </c>
      <c r="L54" s="1" t="s">
        <v>19</v>
      </c>
      <c r="M54" s="1" t="s">
        <v>30</v>
      </c>
      <c r="N54" s="1">
        <v>36</v>
      </c>
      <c r="O54" s="3" t="s">
        <v>36</v>
      </c>
    </row>
    <row r="55" spans="1:15" x14ac:dyDescent="0.25">
      <c r="A55" s="2" t="s">
        <v>92</v>
      </c>
      <c r="B55" s="1">
        <v>58</v>
      </c>
      <c r="C55" s="1" t="s">
        <v>28</v>
      </c>
      <c r="D55" s="1" t="s">
        <v>49</v>
      </c>
      <c r="E55" s="1" t="s">
        <v>25</v>
      </c>
      <c r="F55" s="1">
        <v>87588</v>
      </c>
      <c r="G55" s="14">
        <v>3</v>
      </c>
      <c r="H55" s="1">
        <v>4</v>
      </c>
      <c r="I55" s="1">
        <v>5</v>
      </c>
      <c r="J55" s="1" t="s">
        <v>20</v>
      </c>
      <c r="K55" s="1">
        <v>11</v>
      </c>
      <c r="L55" s="1" t="s">
        <v>20</v>
      </c>
      <c r="M55" s="1" t="s">
        <v>30</v>
      </c>
      <c r="N55" s="1">
        <v>44</v>
      </c>
      <c r="O55" s="3" t="s">
        <v>36</v>
      </c>
    </row>
    <row r="56" spans="1:15" x14ac:dyDescent="0.25">
      <c r="A56" s="2" t="s">
        <v>93</v>
      </c>
      <c r="B56" s="1">
        <v>35</v>
      </c>
      <c r="C56" s="1" t="s">
        <v>16</v>
      </c>
      <c r="D56" s="1" t="s">
        <v>17</v>
      </c>
      <c r="E56" s="1" t="s">
        <v>41</v>
      </c>
      <c r="F56" s="1">
        <v>59359</v>
      </c>
      <c r="G56" s="14">
        <v>1</v>
      </c>
      <c r="H56" s="1">
        <v>5</v>
      </c>
      <c r="I56" s="1">
        <v>2</v>
      </c>
      <c r="J56" s="1" t="s">
        <v>19</v>
      </c>
      <c r="K56" s="1">
        <v>6</v>
      </c>
      <c r="L56" s="1" t="s">
        <v>20</v>
      </c>
      <c r="M56" s="1" t="s">
        <v>30</v>
      </c>
      <c r="N56" s="1">
        <v>80</v>
      </c>
      <c r="O56" s="3" t="s">
        <v>31</v>
      </c>
    </row>
    <row r="57" spans="1:15" x14ac:dyDescent="0.25">
      <c r="A57" s="2" t="s">
        <v>94</v>
      </c>
      <c r="B57" s="1">
        <v>39</v>
      </c>
      <c r="C57" s="1" t="s">
        <v>16</v>
      </c>
      <c r="D57" s="1" t="s">
        <v>51</v>
      </c>
      <c r="E57" s="1" t="s">
        <v>18</v>
      </c>
      <c r="F57" s="1">
        <v>47816</v>
      </c>
      <c r="G57" s="14">
        <v>3</v>
      </c>
      <c r="H57" s="1">
        <v>2</v>
      </c>
      <c r="I57" s="1">
        <v>3</v>
      </c>
      <c r="J57" s="1" t="s">
        <v>19</v>
      </c>
      <c r="K57" s="1">
        <v>17</v>
      </c>
      <c r="L57" s="1" t="s">
        <v>19</v>
      </c>
      <c r="M57" s="1" t="s">
        <v>30</v>
      </c>
      <c r="N57" s="1">
        <v>10</v>
      </c>
      <c r="O57" s="3" t="s">
        <v>22</v>
      </c>
    </row>
    <row r="58" spans="1:15" x14ac:dyDescent="0.25">
      <c r="A58" s="2" t="s">
        <v>95</v>
      </c>
      <c r="B58" s="1">
        <v>56</v>
      </c>
      <c r="C58" s="1" t="s">
        <v>28</v>
      </c>
      <c r="D58" s="1" t="s">
        <v>17</v>
      </c>
      <c r="E58" s="1" t="s">
        <v>41</v>
      </c>
      <c r="F58" s="1">
        <v>101606</v>
      </c>
      <c r="G58" s="14">
        <v>3</v>
      </c>
      <c r="H58" s="1">
        <v>1</v>
      </c>
      <c r="I58" s="1">
        <v>1</v>
      </c>
      <c r="J58" s="1" t="s">
        <v>20</v>
      </c>
      <c r="K58" s="1">
        <v>15</v>
      </c>
      <c r="L58" s="1" t="s">
        <v>20</v>
      </c>
      <c r="M58" s="1" t="s">
        <v>30</v>
      </c>
      <c r="N58" s="1">
        <v>48</v>
      </c>
      <c r="O58" s="3" t="s">
        <v>44</v>
      </c>
    </row>
    <row r="59" spans="1:15" x14ac:dyDescent="0.25">
      <c r="A59" s="2" t="s">
        <v>96</v>
      </c>
      <c r="B59" s="1">
        <v>24</v>
      </c>
      <c r="C59" s="1" t="s">
        <v>28</v>
      </c>
      <c r="D59" s="1" t="s">
        <v>49</v>
      </c>
      <c r="E59" s="1" t="s">
        <v>35</v>
      </c>
      <c r="F59" s="1">
        <v>26564</v>
      </c>
      <c r="G59" s="14">
        <v>4</v>
      </c>
      <c r="H59" s="1">
        <v>4</v>
      </c>
      <c r="I59" s="1">
        <v>1</v>
      </c>
      <c r="J59" s="1" t="s">
        <v>19</v>
      </c>
      <c r="K59" s="1">
        <v>4</v>
      </c>
      <c r="L59" s="1" t="s">
        <v>19</v>
      </c>
      <c r="M59" s="1" t="s">
        <v>26</v>
      </c>
      <c r="N59" s="1">
        <v>43</v>
      </c>
      <c r="O59" s="3" t="s">
        <v>22</v>
      </c>
    </row>
    <row r="60" spans="1:15" x14ac:dyDescent="0.25">
      <c r="A60" s="2" t="s">
        <v>97</v>
      </c>
      <c r="B60" s="1">
        <v>36</v>
      </c>
      <c r="C60" s="1" t="s">
        <v>16</v>
      </c>
      <c r="D60" s="1" t="s">
        <v>24</v>
      </c>
      <c r="E60" s="1" t="s">
        <v>33</v>
      </c>
      <c r="F60" s="1">
        <v>97471</v>
      </c>
      <c r="G60" s="14">
        <v>5</v>
      </c>
      <c r="H60" s="1">
        <v>5</v>
      </c>
      <c r="I60" s="1">
        <v>2</v>
      </c>
      <c r="J60" s="1" t="s">
        <v>20</v>
      </c>
      <c r="K60" s="1">
        <v>14</v>
      </c>
      <c r="L60" s="1" t="s">
        <v>20</v>
      </c>
      <c r="M60" s="1" t="s">
        <v>30</v>
      </c>
      <c r="N60" s="1">
        <v>80</v>
      </c>
      <c r="O60" s="3" t="s">
        <v>42</v>
      </c>
    </row>
    <row r="61" spans="1:15" x14ac:dyDescent="0.25">
      <c r="A61" s="2" t="s">
        <v>98</v>
      </c>
      <c r="B61" s="1">
        <v>40</v>
      </c>
      <c r="C61" s="1" t="s">
        <v>16</v>
      </c>
      <c r="D61" s="1" t="s">
        <v>24</v>
      </c>
      <c r="E61" s="1" t="s">
        <v>38</v>
      </c>
      <c r="F61" s="1">
        <v>31006</v>
      </c>
      <c r="G61" s="14">
        <v>2</v>
      </c>
      <c r="H61" s="1">
        <v>2</v>
      </c>
      <c r="I61" s="1">
        <v>3</v>
      </c>
      <c r="J61" s="1" t="s">
        <v>19</v>
      </c>
      <c r="K61" s="1">
        <v>5</v>
      </c>
      <c r="L61" s="1" t="s">
        <v>19</v>
      </c>
      <c r="M61" s="1" t="s">
        <v>21</v>
      </c>
      <c r="N61" s="1">
        <v>75</v>
      </c>
      <c r="O61" s="3" t="s">
        <v>22</v>
      </c>
    </row>
    <row r="62" spans="1:15" x14ac:dyDescent="0.25">
      <c r="A62" s="2" t="s">
        <v>99</v>
      </c>
      <c r="B62" s="1">
        <v>31</v>
      </c>
      <c r="C62" s="1" t="s">
        <v>16</v>
      </c>
      <c r="D62" s="1" t="s">
        <v>49</v>
      </c>
      <c r="E62" s="1" t="s">
        <v>558</v>
      </c>
      <c r="F62" s="1">
        <v>108357</v>
      </c>
      <c r="G62" s="14">
        <v>5</v>
      </c>
      <c r="H62" s="1">
        <v>4</v>
      </c>
      <c r="I62" s="1">
        <v>3</v>
      </c>
      <c r="J62" s="1" t="s">
        <v>19</v>
      </c>
      <c r="K62" s="1">
        <v>7</v>
      </c>
      <c r="L62" s="1" t="s">
        <v>20</v>
      </c>
      <c r="M62" s="1" t="s">
        <v>26</v>
      </c>
      <c r="N62" s="1">
        <v>41</v>
      </c>
      <c r="O62" s="3" t="s">
        <v>42</v>
      </c>
    </row>
    <row r="63" spans="1:15" x14ac:dyDescent="0.25">
      <c r="A63" s="2" t="s">
        <v>100</v>
      </c>
      <c r="B63" s="1">
        <v>25</v>
      </c>
      <c r="C63" s="1" t="s">
        <v>16</v>
      </c>
      <c r="D63" s="1" t="s">
        <v>29</v>
      </c>
      <c r="E63" s="1" t="s">
        <v>38</v>
      </c>
      <c r="F63" s="1">
        <v>95304</v>
      </c>
      <c r="G63" s="14">
        <v>2</v>
      </c>
      <c r="H63" s="1">
        <v>4</v>
      </c>
      <c r="I63" s="1">
        <v>1</v>
      </c>
      <c r="J63" s="1" t="s">
        <v>19</v>
      </c>
      <c r="K63" s="1">
        <v>20</v>
      </c>
      <c r="L63" s="1" t="s">
        <v>19</v>
      </c>
      <c r="M63" s="1" t="s">
        <v>30</v>
      </c>
      <c r="N63" s="1">
        <v>23</v>
      </c>
      <c r="O63" s="3" t="s">
        <v>22</v>
      </c>
    </row>
    <row r="64" spans="1:15" x14ac:dyDescent="0.25">
      <c r="A64" s="2" t="s">
        <v>101</v>
      </c>
      <c r="B64" s="1">
        <v>24</v>
      </c>
      <c r="C64" s="1" t="s">
        <v>16</v>
      </c>
      <c r="D64" s="1" t="s">
        <v>29</v>
      </c>
      <c r="E64" s="1" t="s">
        <v>25</v>
      </c>
      <c r="F64" s="1">
        <v>116167</v>
      </c>
      <c r="G64" s="14">
        <v>5</v>
      </c>
      <c r="H64" s="1">
        <v>3</v>
      </c>
      <c r="I64" s="1">
        <v>4</v>
      </c>
      <c r="J64" s="1" t="s">
        <v>19</v>
      </c>
      <c r="K64" s="1">
        <v>14</v>
      </c>
      <c r="L64" s="1" t="s">
        <v>20</v>
      </c>
      <c r="M64" s="1" t="s">
        <v>26</v>
      </c>
      <c r="N64" s="1">
        <v>56</v>
      </c>
      <c r="O64" s="3" t="s">
        <v>36</v>
      </c>
    </row>
    <row r="65" spans="1:15" x14ac:dyDescent="0.25">
      <c r="A65" s="2" t="s">
        <v>102</v>
      </c>
      <c r="B65" s="1">
        <v>53</v>
      </c>
      <c r="C65" s="1" t="s">
        <v>28</v>
      </c>
      <c r="D65" s="1" t="s">
        <v>49</v>
      </c>
      <c r="E65" s="1" t="s">
        <v>35</v>
      </c>
      <c r="F65" s="1">
        <v>96385</v>
      </c>
      <c r="G65" s="14">
        <v>1</v>
      </c>
      <c r="H65" s="1">
        <v>4</v>
      </c>
      <c r="I65" s="1">
        <v>3</v>
      </c>
      <c r="J65" s="1" t="s">
        <v>20</v>
      </c>
      <c r="K65" s="1">
        <v>0</v>
      </c>
      <c r="L65" s="1" t="s">
        <v>19</v>
      </c>
      <c r="M65" s="1" t="s">
        <v>21</v>
      </c>
      <c r="N65" s="1">
        <v>78</v>
      </c>
      <c r="O65" s="3" t="s">
        <v>31</v>
      </c>
    </row>
    <row r="66" spans="1:15" x14ac:dyDescent="0.25">
      <c r="A66" s="2" t="s">
        <v>103</v>
      </c>
      <c r="B66" s="1">
        <v>22</v>
      </c>
      <c r="C66" s="1" t="s">
        <v>28</v>
      </c>
      <c r="D66" s="1" t="s">
        <v>24</v>
      </c>
      <c r="E66" s="1" t="s">
        <v>35</v>
      </c>
      <c r="F66" s="1">
        <v>118022</v>
      </c>
      <c r="G66" s="14">
        <v>2</v>
      </c>
      <c r="H66" s="1">
        <v>4</v>
      </c>
      <c r="I66" s="1">
        <v>5</v>
      </c>
      <c r="J66" s="1" t="s">
        <v>20</v>
      </c>
      <c r="K66" s="1">
        <v>8</v>
      </c>
      <c r="L66" s="1" t="s">
        <v>19</v>
      </c>
      <c r="M66" s="1" t="s">
        <v>26</v>
      </c>
      <c r="N66" s="1">
        <v>60</v>
      </c>
      <c r="O66" s="3" t="s">
        <v>42</v>
      </c>
    </row>
    <row r="67" spans="1:15" x14ac:dyDescent="0.25">
      <c r="A67" s="2" t="s">
        <v>104</v>
      </c>
      <c r="B67" s="1">
        <v>26</v>
      </c>
      <c r="C67" s="1" t="s">
        <v>28</v>
      </c>
      <c r="D67" s="1" t="s">
        <v>29</v>
      </c>
      <c r="E67" s="1" t="s">
        <v>33</v>
      </c>
      <c r="F67" s="1">
        <v>61687</v>
      </c>
      <c r="G67" s="14">
        <v>3</v>
      </c>
      <c r="H67" s="1">
        <v>1</v>
      </c>
      <c r="I67" s="1">
        <v>2</v>
      </c>
      <c r="J67" s="1" t="s">
        <v>20</v>
      </c>
      <c r="K67" s="1">
        <v>13</v>
      </c>
      <c r="L67" s="1" t="s">
        <v>20</v>
      </c>
      <c r="M67" s="1" t="s">
        <v>30</v>
      </c>
      <c r="N67" s="1">
        <v>56</v>
      </c>
      <c r="O67" s="3" t="s">
        <v>31</v>
      </c>
    </row>
    <row r="68" spans="1:15" x14ac:dyDescent="0.25">
      <c r="A68" s="2" t="s">
        <v>105</v>
      </c>
      <c r="B68" s="1">
        <v>23</v>
      </c>
      <c r="C68" s="1" t="s">
        <v>28</v>
      </c>
      <c r="D68" s="1" t="s">
        <v>40</v>
      </c>
      <c r="E68" s="1" t="s">
        <v>18</v>
      </c>
      <c r="F68" s="1">
        <v>51082</v>
      </c>
      <c r="G68" s="14">
        <v>3</v>
      </c>
      <c r="H68" s="1">
        <v>1</v>
      </c>
      <c r="I68" s="1">
        <v>4</v>
      </c>
      <c r="J68" s="1" t="s">
        <v>19</v>
      </c>
      <c r="K68" s="1">
        <v>17</v>
      </c>
      <c r="L68" s="1" t="s">
        <v>20</v>
      </c>
      <c r="M68" s="1" t="s">
        <v>30</v>
      </c>
      <c r="N68" s="1">
        <v>11</v>
      </c>
      <c r="O68" s="3" t="s">
        <v>44</v>
      </c>
    </row>
    <row r="69" spans="1:15" x14ac:dyDescent="0.25">
      <c r="A69" s="2" t="s">
        <v>106</v>
      </c>
      <c r="B69" s="1">
        <v>54</v>
      </c>
      <c r="C69" s="1" t="s">
        <v>28</v>
      </c>
      <c r="D69" s="1" t="s">
        <v>24</v>
      </c>
      <c r="E69" s="1" t="s">
        <v>33</v>
      </c>
      <c r="F69" s="1">
        <v>99973</v>
      </c>
      <c r="G69" s="14">
        <v>4</v>
      </c>
      <c r="H69" s="1">
        <v>1</v>
      </c>
      <c r="I69" s="1">
        <v>2</v>
      </c>
      <c r="J69" s="1" t="s">
        <v>20</v>
      </c>
      <c r="K69" s="1">
        <v>17</v>
      </c>
      <c r="L69" s="1" t="s">
        <v>19</v>
      </c>
      <c r="M69" s="1" t="s">
        <v>30</v>
      </c>
      <c r="N69" s="1">
        <v>61</v>
      </c>
      <c r="O69" s="3" t="s">
        <v>42</v>
      </c>
    </row>
    <row r="70" spans="1:15" x14ac:dyDescent="0.25">
      <c r="A70" s="2" t="s">
        <v>107</v>
      </c>
      <c r="B70" s="1">
        <v>28</v>
      </c>
      <c r="C70" s="1" t="s">
        <v>16</v>
      </c>
      <c r="D70" s="1" t="s">
        <v>17</v>
      </c>
      <c r="E70" s="1" t="s">
        <v>25</v>
      </c>
      <c r="F70" s="1">
        <v>49365</v>
      </c>
      <c r="G70" s="14">
        <v>2</v>
      </c>
      <c r="H70" s="1">
        <v>3</v>
      </c>
      <c r="I70" s="1">
        <v>5</v>
      </c>
      <c r="J70" s="1" t="s">
        <v>19</v>
      </c>
      <c r="K70" s="1">
        <v>17</v>
      </c>
      <c r="L70" s="1" t="s">
        <v>20</v>
      </c>
      <c r="M70" s="1" t="s">
        <v>21</v>
      </c>
      <c r="N70" s="1">
        <v>33</v>
      </c>
      <c r="O70" s="3" t="s">
        <v>22</v>
      </c>
    </row>
    <row r="71" spans="1:15" x14ac:dyDescent="0.25">
      <c r="A71" s="2" t="s">
        <v>108</v>
      </c>
      <c r="B71" s="1">
        <v>50</v>
      </c>
      <c r="C71" s="1" t="s">
        <v>16</v>
      </c>
      <c r="D71" s="1" t="s">
        <v>17</v>
      </c>
      <c r="E71" s="1" t="s">
        <v>41</v>
      </c>
      <c r="F71" s="1">
        <v>68925</v>
      </c>
      <c r="G71" s="14">
        <v>3</v>
      </c>
      <c r="H71" s="1">
        <v>5</v>
      </c>
      <c r="I71" s="1">
        <v>3</v>
      </c>
      <c r="J71" s="1" t="s">
        <v>20</v>
      </c>
      <c r="K71" s="1">
        <v>15</v>
      </c>
      <c r="L71" s="1" t="s">
        <v>20</v>
      </c>
      <c r="M71" s="1" t="s">
        <v>21</v>
      </c>
      <c r="N71" s="1">
        <v>63</v>
      </c>
      <c r="O71" s="3" t="s">
        <v>31</v>
      </c>
    </row>
    <row r="72" spans="1:15" x14ac:dyDescent="0.25">
      <c r="A72" s="2" t="s">
        <v>109</v>
      </c>
      <c r="B72" s="1">
        <v>30</v>
      </c>
      <c r="C72" s="1" t="s">
        <v>28</v>
      </c>
      <c r="D72" s="1" t="s">
        <v>51</v>
      </c>
      <c r="E72" s="1" t="s">
        <v>25</v>
      </c>
      <c r="F72" s="1">
        <v>84616</v>
      </c>
      <c r="G72" s="14">
        <v>2</v>
      </c>
      <c r="H72" s="1">
        <v>1</v>
      </c>
      <c r="I72" s="1">
        <v>3</v>
      </c>
      <c r="J72" s="1" t="s">
        <v>20</v>
      </c>
      <c r="K72" s="1">
        <v>10</v>
      </c>
      <c r="L72" s="1" t="s">
        <v>20</v>
      </c>
      <c r="M72" s="1" t="s">
        <v>21</v>
      </c>
      <c r="N72" s="1">
        <v>41</v>
      </c>
      <c r="O72" s="3" t="s">
        <v>36</v>
      </c>
    </row>
    <row r="73" spans="1:15" x14ac:dyDescent="0.25">
      <c r="A73" s="2" t="s">
        <v>110</v>
      </c>
      <c r="B73" s="1">
        <v>58</v>
      </c>
      <c r="C73" s="1" t="s">
        <v>28</v>
      </c>
      <c r="D73" s="1" t="s">
        <v>51</v>
      </c>
      <c r="E73" s="1" t="s">
        <v>33</v>
      </c>
      <c r="F73" s="1">
        <v>88592</v>
      </c>
      <c r="G73" s="14">
        <v>4</v>
      </c>
      <c r="H73" s="1">
        <v>3</v>
      </c>
      <c r="I73" s="1">
        <v>3</v>
      </c>
      <c r="J73" s="1" t="s">
        <v>20</v>
      </c>
      <c r="K73" s="1">
        <v>14</v>
      </c>
      <c r="L73" s="1" t="s">
        <v>20</v>
      </c>
      <c r="M73" s="1" t="s">
        <v>21</v>
      </c>
      <c r="N73" s="1">
        <v>35</v>
      </c>
      <c r="O73" s="3" t="s">
        <v>31</v>
      </c>
    </row>
    <row r="74" spans="1:15" x14ac:dyDescent="0.25">
      <c r="A74" s="2" t="s">
        <v>111</v>
      </c>
      <c r="B74" s="1">
        <v>45</v>
      </c>
      <c r="C74" s="1" t="s">
        <v>16</v>
      </c>
      <c r="D74" s="1" t="s">
        <v>49</v>
      </c>
      <c r="E74" s="1" t="s">
        <v>35</v>
      </c>
      <c r="F74" s="1">
        <v>59704</v>
      </c>
      <c r="G74" s="14">
        <v>4</v>
      </c>
      <c r="H74" s="1">
        <v>4</v>
      </c>
      <c r="I74" s="1">
        <v>4</v>
      </c>
      <c r="J74" s="1" t="s">
        <v>19</v>
      </c>
      <c r="K74" s="1">
        <v>15</v>
      </c>
      <c r="L74" s="1" t="s">
        <v>19</v>
      </c>
      <c r="M74" s="1" t="s">
        <v>21</v>
      </c>
      <c r="N74" s="1">
        <v>69</v>
      </c>
      <c r="O74" s="3" t="s">
        <v>31</v>
      </c>
    </row>
    <row r="75" spans="1:15" x14ac:dyDescent="0.25">
      <c r="A75" s="2" t="s">
        <v>112</v>
      </c>
      <c r="B75" s="1">
        <v>42</v>
      </c>
      <c r="C75" s="1" t="s">
        <v>16</v>
      </c>
      <c r="D75" s="1" t="s">
        <v>49</v>
      </c>
      <c r="E75" s="1" t="s">
        <v>35</v>
      </c>
      <c r="F75" s="1">
        <v>86937</v>
      </c>
      <c r="G75" s="14">
        <v>4</v>
      </c>
      <c r="H75" s="1">
        <v>1</v>
      </c>
      <c r="I75" s="1">
        <v>2</v>
      </c>
      <c r="J75" s="1" t="s">
        <v>20</v>
      </c>
      <c r="K75" s="1">
        <v>20</v>
      </c>
      <c r="L75" s="1" t="s">
        <v>19</v>
      </c>
      <c r="M75" s="1" t="s">
        <v>21</v>
      </c>
      <c r="N75" s="1">
        <v>65</v>
      </c>
      <c r="O75" s="3" t="s">
        <v>36</v>
      </c>
    </row>
    <row r="76" spans="1:15" x14ac:dyDescent="0.25">
      <c r="A76" s="2" t="s">
        <v>113</v>
      </c>
      <c r="B76" s="1">
        <v>42</v>
      </c>
      <c r="C76" s="1" t="s">
        <v>28</v>
      </c>
      <c r="D76" s="1" t="s">
        <v>17</v>
      </c>
      <c r="E76" s="1" t="s">
        <v>35</v>
      </c>
      <c r="F76" s="1">
        <v>68925</v>
      </c>
      <c r="G76" s="14">
        <v>5</v>
      </c>
      <c r="H76" s="1">
        <v>4</v>
      </c>
      <c r="I76" s="1">
        <v>3</v>
      </c>
      <c r="J76" s="1" t="s">
        <v>20</v>
      </c>
      <c r="K76" s="1">
        <v>17</v>
      </c>
      <c r="L76" s="1" t="s">
        <v>19</v>
      </c>
      <c r="M76" s="1" t="s">
        <v>26</v>
      </c>
      <c r="N76" s="1">
        <v>13</v>
      </c>
      <c r="O76" s="3" t="s">
        <v>44</v>
      </c>
    </row>
    <row r="77" spans="1:15" x14ac:dyDescent="0.25">
      <c r="A77" s="2" t="s">
        <v>114</v>
      </c>
      <c r="B77" s="1">
        <v>39</v>
      </c>
      <c r="C77" s="1" t="s">
        <v>16</v>
      </c>
      <c r="D77" s="1" t="s">
        <v>17</v>
      </c>
      <c r="E77" s="1" t="s">
        <v>35</v>
      </c>
      <c r="F77" s="1">
        <v>74881</v>
      </c>
      <c r="G77" s="14">
        <v>1</v>
      </c>
      <c r="H77" s="1">
        <v>1</v>
      </c>
      <c r="I77" s="1">
        <v>4</v>
      </c>
      <c r="J77" s="1" t="s">
        <v>19</v>
      </c>
      <c r="K77" s="1">
        <v>9</v>
      </c>
      <c r="L77" s="1" t="s">
        <v>19</v>
      </c>
      <c r="M77" s="1" t="s">
        <v>21</v>
      </c>
      <c r="N77" s="1">
        <v>46</v>
      </c>
      <c r="O77" s="3" t="s">
        <v>22</v>
      </c>
    </row>
    <row r="78" spans="1:15" x14ac:dyDescent="0.25">
      <c r="A78" s="2" t="s">
        <v>115</v>
      </c>
      <c r="B78" s="1">
        <v>39</v>
      </c>
      <c r="C78" s="1" t="s">
        <v>28</v>
      </c>
      <c r="D78" s="1" t="s">
        <v>29</v>
      </c>
      <c r="E78" s="1" t="s">
        <v>33</v>
      </c>
      <c r="F78" s="1">
        <v>37080</v>
      </c>
      <c r="G78" s="14">
        <v>2</v>
      </c>
      <c r="H78" s="1">
        <v>5</v>
      </c>
      <c r="I78" s="1">
        <v>3</v>
      </c>
      <c r="J78" s="1" t="s">
        <v>19</v>
      </c>
      <c r="K78" s="1">
        <v>5</v>
      </c>
      <c r="L78" s="1" t="s">
        <v>19</v>
      </c>
      <c r="M78" s="1" t="s">
        <v>21</v>
      </c>
      <c r="N78" s="1">
        <v>53</v>
      </c>
      <c r="O78" s="3" t="s">
        <v>31</v>
      </c>
    </row>
    <row r="79" spans="1:15" x14ac:dyDescent="0.25">
      <c r="A79" s="2" t="s">
        <v>116</v>
      </c>
      <c r="B79" s="1">
        <v>36</v>
      </c>
      <c r="C79" s="1" t="s">
        <v>28</v>
      </c>
      <c r="D79" s="1" t="s">
        <v>24</v>
      </c>
      <c r="E79" s="1" t="s">
        <v>41</v>
      </c>
      <c r="F79" s="1">
        <v>48433</v>
      </c>
      <c r="G79" s="14">
        <v>4</v>
      </c>
      <c r="H79" s="1">
        <v>3</v>
      </c>
      <c r="I79" s="1">
        <v>4</v>
      </c>
      <c r="J79" s="1" t="s">
        <v>20</v>
      </c>
      <c r="K79" s="1">
        <v>0</v>
      </c>
      <c r="L79" s="1" t="s">
        <v>20</v>
      </c>
      <c r="M79" s="1" t="s">
        <v>30</v>
      </c>
      <c r="N79" s="1">
        <v>74</v>
      </c>
      <c r="O79" s="3" t="s">
        <v>44</v>
      </c>
    </row>
    <row r="80" spans="1:15" x14ac:dyDescent="0.25">
      <c r="A80" s="2" t="s">
        <v>117</v>
      </c>
      <c r="B80" s="1">
        <v>25</v>
      </c>
      <c r="C80" s="1" t="s">
        <v>28</v>
      </c>
      <c r="D80" s="1" t="s">
        <v>29</v>
      </c>
      <c r="E80" s="1" t="s">
        <v>25</v>
      </c>
      <c r="F80" s="1">
        <v>57210</v>
      </c>
      <c r="G80" s="14">
        <v>4</v>
      </c>
      <c r="H80" s="1">
        <v>3</v>
      </c>
      <c r="I80" s="1">
        <v>4</v>
      </c>
      <c r="J80" s="1" t="s">
        <v>20</v>
      </c>
      <c r="K80" s="1">
        <v>6</v>
      </c>
      <c r="L80" s="1" t="s">
        <v>20</v>
      </c>
      <c r="M80" s="1" t="s">
        <v>30</v>
      </c>
      <c r="N80" s="1">
        <v>18</v>
      </c>
      <c r="O80" s="3" t="s">
        <v>44</v>
      </c>
    </row>
    <row r="81" spans="1:15" x14ac:dyDescent="0.25">
      <c r="A81" s="2" t="s">
        <v>118</v>
      </c>
      <c r="B81" s="1">
        <v>45</v>
      </c>
      <c r="C81" s="1" t="s">
        <v>28</v>
      </c>
      <c r="D81" s="1" t="s">
        <v>24</v>
      </c>
      <c r="E81" s="1" t="s">
        <v>18</v>
      </c>
      <c r="F81" s="1">
        <v>109655</v>
      </c>
      <c r="G81" s="14">
        <v>3</v>
      </c>
      <c r="H81" s="1">
        <v>1</v>
      </c>
      <c r="I81" s="1">
        <v>4</v>
      </c>
      <c r="J81" s="1" t="s">
        <v>20</v>
      </c>
      <c r="K81" s="1">
        <v>0</v>
      </c>
      <c r="L81" s="1" t="s">
        <v>19</v>
      </c>
      <c r="M81" s="1" t="s">
        <v>26</v>
      </c>
      <c r="N81" s="1">
        <v>68</v>
      </c>
      <c r="O81" s="3" t="s">
        <v>36</v>
      </c>
    </row>
    <row r="82" spans="1:15" x14ac:dyDescent="0.25">
      <c r="A82" s="2" t="s">
        <v>119</v>
      </c>
      <c r="B82" s="1">
        <v>35</v>
      </c>
      <c r="C82" s="1" t="s">
        <v>28</v>
      </c>
      <c r="D82" s="1" t="s">
        <v>51</v>
      </c>
      <c r="E82" s="1" t="s">
        <v>38</v>
      </c>
      <c r="F82" s="1">
        <v>42920</v>
      </c>
      <c r="G82" s="14">
        <v>3</v>
      </c>
      <c r="H82" s="1">
        <v>3</v>
      </c>
      <c r="I82" s="1">
        <v>2</v>
      </c>
      <c r="J82" s="1" t="s">
        <v>19</v>
      </c>
      <c r="K82" s="1">
        <v>20</v>
      </c>
      <c r="L82" s="1" t="s">
        <v>19</v>
      </c>
      <c r="M82" s="1" t="s">
        <v>30</v>
      </c>
      <c r="N82" s="1">
        <v>61</v>
      </c>
      <c r="O82" s="3" t="s">
        <v>22</v>
      </c>
    </row>
    <row r="83" spans="1:15" x14ac:dyDescent="0.25">
      <c r="A83" s="2" t="s">
        <v>120</v>
      </c>
      <c r="B83" s="1">
        <v>58</v>
      </c>
      <c r="C83" s="1" t="s">
        <v>28</v>
      </c>
      <c r="D83" s="1" t="s">
        <v>17</v>
      </c>
      <c r="E83" s="1" t="s">
        <v>41</v>
      </c>
      <c r="F83" s="1">
        <v>29813</v>
      </c>
      <c r="G83" s="14">
        <v>3</v>
      </c>
      <c r="H83" s="1">
        <v>3</v>
      </c>
      <c r="I83" s="1">
        <v>4</v>
      </c>
      <c r="J83" s="1" t="s">
        <v>19</v>
      </c>
      <c r="K83" s="1">
        <v>6</v>
      </c>
      <c r="L83" s="1" t="s">
        <v>19</v>
      </c>
      <c r="M83" s="1" t="s">
        <v>26</v>
      </c>
      <c r="N83" s="1">
        <v>51</v>
      </c>
      <c r="O83" s="3" t="s">
        <v>31</v>
      </c>
    </row>
    <row r="84" spans="1:15" x14ac:dyDescent="0.25">
      <c r="A84" s="2" t="s">
        <v>121</v>
      </c>
      <c r="B84" s="1">
        <v>53</v>
      </c>
      <c r="C84" s="1" t="s">
        <v>28</v>
      </c>
      <c r="D84" s="1" t="s">
        <v>51</v>
      </c>
      <c r="E84" s="1" t="s">
        <v>18</v>
      </c>
      <c r="F84" s="1">
        <v>81156</v>
      </c>
      <c r="G84" s="14">
        <v>3</v>
      </c>
      <c r="H84" s="1">
        <v>3</v>
      </c>
      <c r="I84" s="1">
        <v>1</v>
      </c>
      <c r="J84" s="1" t="s">
        <v>20</v>
      </c>
      <c r="K84" s="1">
        <v>2</v>
      </c>
      <c r="L84" s="1" t="s">
        <v>19</v>
      </c>
      <c r="M84" s="1" t="s">
        <v>21</v>
      </c>
      <c r="N84" s="1">
        <v>55</v>
      </c>
      <c r="O84" s="3" t="s">
        <v>31</v>
      </c>
    </row>
    <row r="85" spans="1:15" x14ac:dyDescent="0.25">
      <c r="A85" s="2" t="s">
        <v>122</v>
      </c>
      <c r="B85" s="1">
        <v>44</v>
      </c>
      <c r="C85" s="1" t="s">
        <v>16</v>
      </c>
      <c r="D85" s="1" t="s">
        <v>49</v>
      </c>
      <c r="E85" s="1" t="s">
        <v>35</v>
      </c>
      <c r="F85" s="1">
        <v>52663</v>
      </c>
      <c r="G85" s="14">
        <v>5</v>
      </c>
      <c r="H85" s="1">
        <v>1</v>
      </c>
      <c r="I85" s="1">
        <v>4</v>
      </c>
      <c r="J85" s="1" t="s">
        <v>20</v>
      </c>
      <c r="K85" s="1">
        <v>8</v>
      </c>
      <c r="L85" s="1" t="s">
        <v>20</v>
      </c>
      <c r="M85" s="1" t="s">
        <v>26</v>
      </c>
      <c r="N85" s="1">
        <v>52</v>
      </c>
      <c r="O85" s="3" t="s">
        <v>22</v>
      </c>
    </row>
    <row r="86" spans="1:15" x14ac:dyDescent="0.25">
      <c r="A86" s="2" t="s">
        <v>123</v>
      </c>
      <c r="B86" s="1">
        <v>35</v>
      </c>
      <c r="C86" s="1" t="s">
        <v>28</v>
      </c>
      <c r="D86" s="1" t="s">
        <v>40</v>
      </c>
      <c r="E86" s="1" t="s">
        <v>25</v>
      </c>
      <c r="F86" s="1">
        <v>91584</v>
      </c>
      <c r="G86" s="14">
        <v>3</v>
      </c>
      <c r="H86" s="1">
        <v>5</v>
      </c>
      <c r="I86" s="1">
        <v>2</v>
      </c>
      <c r="J86" s="1" t="s">
        <v>19</v>
      </c>
      <c r="K86" s="1">
        <v>20</v>
      </c>
      <c r="L86" s="1" t="s">
        <v>20</v>
      </c>
      <c r="M86" s="1" t="s">
        <v>26</v>
      </c>
      <c r="N86" s="1">
        <v>43</v>
      </c>
      <c r="O86" s="3" t="s">
        <v>42</v>
      </c>
    </row>
    <row r="87" spans="1:15" x14ac:dyDescent="0.25">
      <c r="A87" s="2" t="s">
        <v>124</v>
      </c>
      <c r="B87" s="1">
        <v>28</v>
      </c>
      <c r="C87" s="1" t="s">
        <v>16</v>
      </c>
      <c r="D87" s="1" t="s">
        <v>40</v>
      </c>
      <c r="E87" s="1" t="s">
        <v>35</v>
      </c>
      <c r="F87" s="1">
        <v>57893</v>
      </c>
      <c r="G87" s="14">
        <v>4</v>
      </c>
      <c r="H87" s="1">
        <v>1</v>
      </c>
      <c r="I87" s="1">
        <v>1</v>
      </c>
      <c r="J87" s="1" t="s">
        <v>19</v>
      </c>
      <c r="K87" s="1">
        <v>17</v>
      </c>
      <c r="L87" s="1" t="s">
        <v>19</v>
      </c>
      <c r="M87" s="1" t="s">
        <v>30</v>
      </c>
      <c r="N87" s="1">
        <v>63</v>
      </c>
      <c r="O87" s="3" t="s">
        <v>36</v>
      </c>
    </row>
    <row r="88" spans="1:15" x14ac:dyDescent="0.25">
      <c r="A88" s="2" t="s">
        <v>125</v>
      </c>
      <c r="B88" s="1">
        <v>55</v>
      </c>
      <c r="C88" s="1" t="s">
        <v>28</v>
      </c>
      <c r="D88" s="1" t="s">
        <v>24</v>
      </c>
      <c r="E88" s="1" t="s">
        <v>38</v>
      </c>
      <c r="F88" s="1">
        <v>113236</v>
      </c>
      <c r="G88" s="14">
        <v>2</v>
      </c>
      <c r="H88" s="1">
        <v>4</v>
      </c>
      <c r="I88" s="1">
        <v>1</v>
      </c>
      <c r="J88" s="1" t="s">
        <v>20</v>
      </c>
      <c r="K88" s="1">
        <v>19</v>
      </c>
      <c r="L88" s="1" t="s">
        <v>20</v>
      </c>
      <c r="M88" s="1" t="s">
        <v>30</v>
      </c>
      <c r="N88" s="1">
        <v>9</v>
      </c>
      <c r="O88" s="3" t="s">
        <v>36</v>
      </c>
    </row>
    <row r="89" spans="1:15" x14ac:dyDescent="0.25">
      <c r="A89" s="2" t="s">
        <v>126</v>
      </c>
      <c r="B89" s="1">
        <v>39</v>
      </c>
      <c r="C89" s="1" t="s">
        <v>28</v>
      </c>
      <c r="D89" s="1" t="s">
        <v>49</v>
      </c>
      <c r="E89" s="1" t="s">
        <v>41</v>
      </c>
      <c r="F89" s="1">
        <v>65537</v>
      </c>
      <c r="G89" s="14">
        <v>3</v>
      </c>
      <c r="H89" s="1">
        <v>3</v>
      </c>
      <c r="I89" s="1">
        <v>5</v>
      </c>
      <c r="J89" s="1" t="s">
        <v>20</v>
      </c>
      <c r="K89" s="1">
        <v>1</v>
      </c>
      <c r="L89" s="1" t="s">
        <v>20</v>
      </c>
      <c r="M89" s="1" t="s">
        <v>30</v>
      </c>
      <c r="N89" s="1">
        <v>29</v>
      </c>
      <c r="O89" s="3" t="s">
        <v>22</v>
      </c>
    </row>
    <row r="90" spans="1:15" x14ac:dyDescent="0.25">
      <c r="A90" s="2" t="s">
        <v>127</v>
      </c>
      <c r="B90" s="1">
        <v>50</v>
      </c>
      <c r="C90" s="1" t="s">
        <v>16</v>
      </c>
      <c r="D90" s="1" t="s">
        <v>17</v>
      </c>
      <c r="E90" s="1" t="s">
        <v>41</v>
      </c>
      <c r="F90" s="1">
        <v>102109</v>
      </c>
      <c r="G90" s="14">
        <v>5</v>
      </c>
      <c r="H90" s="1">
        <v>1</v>
      </c>
      <c r="I90" s="1">
        <v>1</v>
      </c>
      <c r="J90" s="1" t="s">
        <v>20</v>
      </c>
      <c r="K90" s="1">
        <v>7</v>
      </c>
      <c r="L90" s="1" t="s">
        <v>19</v>
      </c>
      <c r="M90" s="1" t="s">
        <v>26</v>
      </c>
      <c r="N90" s="1">
        <v>31</v>
      </c>
      <c r="O90" s="3" t="s">
        <v>22</v>
      </c>
    </row>
    <row r="91" spans="1:15" x14ac:dyDescent="0.25">
      <c r="A91" s="2" t="s">
        <v>128</v>
      </c>
      <c r="B91" s="1">
        <v>56</v>
      </c>
      <c r="C91" s="1" t="s">
        <v>16</v>
      </c>
      <c r="D91" s="1" t="s">
        <v>24</v>
      </c>
      <c r="E91" s="1" t="s">
        <v>41</v>
      </c>
      <c r="F91" s="1">
        <v>48539</v>
      </c>
      <c r="G91" s="14">
        <v>3</v>
      </c>
      <c r="H91" s="1">
        <v>2</v>
      </c>
      <c r="I91" s="1">
        <v>5</v>
      </c>
      <c r="J91" s="1" t="s">
        <v>19</v>
      </c>
      <c r="K91" s="1">
        <v>8</v>
      </c>
      <c r="L91" s="1" t="s">
        <v>19</v>
      </c>
      <c r="M91" s="1" t="s">
        <v>21</v>
      </c>
      <c r="N91" s="1">
        <v>74</v>
      </c>
      <c r="O91" s="3" t="s">
        <v>36</v>
      </c>
    </row>
    <row r="92" spans="1:15" x14ac:dyDescent="0.25">
      <c r="A92" s="2" t="s">
        <v>129</v>
      </c>
      <c r="B92" s="1">
        <v>32</v>
      </c>
      <c r="C92" s="1" t="s">
        <v>16</v>
      </c>
      <c r="D92" s="1" t="s">
        <v>17</v>
      </c>
      <c r="E92" s="1" t="s">
        <v>35</v>
      </c>
      <c r="F92" s="1">
        <v>35275</v>
      </c>
      <c r="G92" s="14">
        <v>1</v>
      </c>
      <c r="H92" s="1">
        <v>3</v>
      </c>
      <c r="I92" s="1">
        <v>2</v>
      </c>
      <c r="J92" s="1" t="s">
        <v>20</v>
      </c>
      <c r="K92" s="1">
        <v>0</v>
      </c>
      <c r="L92" s="1" t="s">
        <v>19</v>
      </c>
      <c r="M92" s="1" t="s">
        <v>30</v>
      </c>
      <c r="N92" s="1">
        <v>11</v>
      </c>
      <c r="O92" s="3" t="s">
        <v>44</v>
      </c>
    </row>
    <row r="93" spans="1:15" x14ac:dyDescent="0.25">
      <c r="A93" s="2" t="s">
        <v>130</v>
      </c>
      <c r="B93" s="1">
        <v>47</v>
      </c>
      <c r="C93" s="1" t="s">
        <v>16</v>
      </c>
      <c r="D93" s="1" t="s">
        <v>17</v>
      </c>
      <c r="E93" s="1" t="s">
        <v>35</v>
      </c>
      <c r="F93" s="1">
        <v>68925</v>
      </c>
      <c r="G93" s="14">
        <v>4</v>
      </c>
      <c r="H93" s="1">
        <v>3</v>
      </c>
      <c r="I93" s="1">
        <v>5</v>
      </c>
      <c r="J93" s="1" t="s">
        <v>19</v>
      </c>
      <c r="K93" s="1">
        <v>14</v>
      </c>
      <c r="L93" s="1" t="s">
        <v>19</v>
      </c>
      <c r="M93" s="1" t="s">
        <v>26</v>
      </c>
      <c r="N93" s="1">
        <v>10</v>
      </c>
      <c r="O93" s="3" t="s">
        <v>31</v>
      </c>
    </row>
    <row r="94" spans="1:15" x14ac:dyDescent="0.25">
      <c r="A94" s="2" t="s">
        <v>131</v>
      </c>
      <c r="B94" s="1">
        <v>40</v>
      </c>
      <c r="C94" s="1" t="s">
        <v>28</v>
      </c>
      <c r="D94" s="1" t="s">
        <v>17</v>
      </c>
      <c r="E94" s="1" t="s">
        <v>35</v>
      </c>
      <c r="F94" s="1">
        <v>25972</v>
      </c>
      <c r="G94" s="14">
        <v>4</v>
      </c>
      <c r="H94" s="1">
        <v>4</v>
      </c>
      <c r="I94" s="1">
        <v>4</v>
      </c>
      <c r="J94" s="1" t="s">
        <v>19</v>
      </c>
      <c r="K94" s="1">
        <v>15</v>
      </c>
      <c r="L94" s="1" t="s">
        <v>20</v>
      </c>
      <c r="M94" s="1" t="s">
        <v>21</v>
      </c>
      <c r="N94" s="1">
        <v>15</v>
      </c>
      <c r="O94" s="3" t="s">
        <v>36</v>
      </c>
    </row>
    <row r="95" spans="1:15" x14ac:dyDescent="0.25">
      <c r="A95" s="2" t="s">
        <v>132</v>
      </c>
      <c r="B95" s="1">
        <v>30</v>
      </c>
      <c r="C95" s="1" t="s">
        <v>16</v>
      </c>
      <c r="D95" s="1" t="s">
        <v>51</v>
      </c>
      <c r="E95" s="1" t="s">
        <v>18</v>
      </c>
      <c r="F95" s="1">
        <v>99830</v>
      </c>
      <c r="G95" s="14">
        <v>5</v>
      </c>
      <c r="H95" s="1">
        <v>5</v>
      </c>
      <c r="I95" s="1">
        <v>3</v>
      </c>
      <c r="J95" s="1" t="s">
        <v>20</v>
      </c>
      <c r="K95" s="1">
        <v>19</v>
      </c>
      <c r="L95" s="1" t="s">
        <v>20</v>
      </c>
      <c r="M95" s="1" t="s">
        <v>30</v>
      </c>
      <c r="N95" s="1">
        <v>69</v>
      </c>
      <c r="O95" s="3" t="s">
        <v>31</v>
      </c>
    </row>
    <row r="96" spans="1:15" x14ac:dyDescent="0.25">
      <c r="A96" s="2" t="s">
        <v>133</v>
      </c>
      <c r="B96" s="1">
        <v>48</v>
      </c>
      <c r="C96" s="1" t="s">
        <v>16</v>
      </c>
      <c r="D96" s="1" t="s">
        <v>17</v>
      </c>
      <c r="E96" s="1" t="s">
        <v>35</v>
      </c>
      <c r="F96" s="1">
        <v>103814</v>
      </c>
      <c r="G96" s="14">
        <v>5</v>
      </c>
      <c r="H96" s="1">
        <v>2</v>
      </c>
      <c r="I96" s="1">
        <v>4</v>
      </c>
      <c r="J96" s="1" t="s">
        <v>20</v>
      </c>
      <c r="K96" s="1">
        <v>7</v>
      </c>
      <c r="L96" s="1" t="s">
        <v>20</v>
      </c>
      <c r="M96" s="1" t="s">
        <v>30</v>
      </c>
      <c r="N96" s="1">
        <v>63</v>
      </c>
      <c r="O96" s="3" t="s">
        <v>42</v>
      </c>
    </row>
    <row r="97" spans="1:15" x14ac:dyDescent="0.25">
      <c r="A97" s="2" t="s">
        <v>134</v>
      </c>
      <c r="B97" s="1">
        <v>47</v>
      </c>
      <c r="C97" s="1" t="s">
        <v>16</v>
      </c>
      <c r="D97" s="1" t="s">
        <v>29</v>
      </c>
      <c r="E97" s="1" t="s">
        <v>33</v>
      </c>
      <c r="F97" s="1">
        <v>58963</v>
      </c>
      <c r="G97" s="14">
        <v>3</v>
      </c>
      <c r="H97" s="1">
        <v>3</v>
      </c>
      <c r="I97" s="1">
        <v>2</v>
      </c>
      <c r="J97" s="1" t="s">
        <v>20</v>
      </c>
      <c r="K97" s="1">
        <v>2</v>
      </c>
      <c r="L97" s="1" t="s">
        <v>19</v>
      </c>
      <c r="M97" s="1" t="s">
        <v>21</v>
      </c>
      <c r="N97" s="1">
        <v>16</v>
      </c>
      <c r="O97" s="3" t="s">
        <v>42</v>
      </c>
    </row>
    <row r="98" spans="1:15" x14ac:dyDescent="0.25">
      <c r="A98" s="2" t="s">
        <v>135</v>
      </c>
      <c r="B98" s="1">
        <v>27</v>
      </c>
      <c r="C98" s="1" t="s">
        <v>28</v>
      </c>
      <c r="D98" s="1" t="s">
        <v>51</v>
      </c>
      <c r="E98" s="1" t="s">
        <v>25</v>
      </c>
      <c r="F98" s="1">
        <v>25861</v>
      </c>
      <c r="G98" s="14">
        <v>5</v>
      </c>
      <c r="H98" s="1">
        <v>5</v>
      </c>
      <c r="I98" s="1">
        <v>5</v>
      </c>
      <c r="J98" s="1" t="s">
        <v>20</v>
      </c>
      <c r="K98" s="1">
        <v>3</v>
      </c>
      <c r="L98" s="1" t="s">
        <v>20</v>
      </c>
      <c r="M98" s="1" t="s">
        <v>30</v>
      </c>
      <c r="N98" s="1">
        <v>59</v>
      </c>
      <c r="O98" s="3" t="s">
        <v>22</v>
      </c>
    </row>
    <row r="99" spans="1:15" x14ac:dyDescent="0.25">
      <c r="A99" s="2" t="s">
        <v>136</v>
      </c>
      <c r="B99" s="1">
        <v>39</v>
      </c>
      <c r="C99" s="1" t="s">
        <v>28</v>
      </c>
      <c r="D99" s="1" t="s">
        <v>29</v>
      </c>
      <c r="E99" s="1" t="s">
        <v>35</v>
      </c>
      <c r="F99" s="1">
        <v>93748</v>
      </c>
      <c r="G99" s="14">
        <v>5</v>
      </c>
      <c r="H99" s="1">
        <v>2</v>
      </c>
      <c r="I99" s="1">
        <v>2</v>
      </c>
      <c r="J99" s="1" t="s">
        <v>20</v>
      </c>
      <c r="K99" s="1">
        <v>7</v>
      </c>
      <c r="L99" s="1" t="s">
        <v>19</v>
      </c>
      <c r="M99" s="1" t="s">
        <v>30</v>
      </c>
      <c r="N99" s="1">
        <v>76</v>
      </c>
      <c r="O99" s="3" t="s">
        <v>36</v>
      </c>
    </row>
    <row r="100" spans="1:15" x14ac:dyDescent="0.25">
      <c r="A100" s="2" t="s">
        <v>137</v>
      </c>
      <c r="B100" s="1">
        <v>28</v>
      </c>
      <c r="C100" s="1" t="s">
        <v>28</v>
      </c>
      <c r="D100" s="1" t="s">
        <v>24</v>
      </c>
      <c r="E100" s="1" t="s">
        <v>41</v>
      </c>
      <c r="F100" s="1">
        <v>74244</v>
      </c>
      <c r="G100" s="14">
        <v>5</v>
      </c>
      <c r="H100" s="1">
        <v>5</v>
      </c>
      <c r="I100" s="1">
        <v>5</v>
      </c>
      <c r="J100" s="1" t="s">
        <v>19</v>
      </c>
      <c r="K100" s="1">
        <v>19</v>
      </c>
      <c r="L100" s="1" t="s">
        <v>20</v>
      </c>
      <c r="M100" s="1" t="s">
        <v>21</v>
      </c>
      <c r="N100" s="1">
        <v>28</v>
      </c>
      <c r="O100" s="3" t="s">
        <v>36</v>
      </c>
    </row>
    <row r="101" spans="1:15" x14ac:dyDescent="0.25">
      <c r="A101" s="2" t="s">
        <v>138</v>
      </c>
      <c r="B101" s="1">
        <v>40</v>
      </c>
      <c r="C101" s="1" t="s">
        <v>28</v>
      </c>
      <c r="D101" s="1" t="s">
        <v>29</v>
      </c>
      <c r="E101" s="1" t="s">
        <v>35</v>
      </c>
      <c r="F101" s="1">
        <v>68925</v>
      </c>
      <c r="G101" s="14">
        <v>2</v>
      </c>
      <c r="H101" s="1">
        <v>5</v>
      </c>
      <c r="I101" s="1">
        <v>4</v>
      </c>
      <c r="J101" s="1" t="s">
        <v>19</v>
      </c>
      <c r="K101" s="1">
        <v>4</v>
      </c>
      <c r="L101" s="1" t="s">
        <v>19</v>
      </c>
      <c r="M101" s="1" t="s">
        <v>21</v>
      </c>
      <c r="N101" s="1">
        <v>72</v>
      </c>
      <c r="O101" s="3" t="s">
        <v>44</v>
      </c>
    </row>
    <row r="102" spans="1:15" x14ac:dyDescent="0.25">
      <c r="A102" s="2" t="s">
        <v>139</v>
      </c>
      <c r="B102" s="1">
        <v>45</v>
      </c>
      <c r="C102" s="1" t="s">
        <v>28</v>
      </c>
      <c r="D102" s="1" t="s">
        <v>49</v>
      </c>
      <c r="E102" s="1" t="s">
        <v>18</v>
      </c>
      <c r="F102" s="1">
        <v>38631</v>
      </c>
      <c r="G102" s="14">
        <v>3</v>
      </c>
      <c r="H102" s="1">
        <v>3</v>
      </c>
      <c r="I102" s="1">
        <v>3</v>
      </c>
      <c r="J102" s="1" t="s">
        <v>19</v>
      </c>
      <c r="K102" s="1">
        <v>1</v>
      </c>
      <c r="L102" s="1" t="s">
        <v>19</v>
      </c>
      <c r="M102" s="1" t="s">
        <v>21</v>
      </c>
      <c r="N102" s="1">
        <v>11</v>
      </c>
      <c r="O102" s="3" t="s">
        <v>22</v>
      </c>
    </row>
    <row r="103" spans="1:15" x14ac:dyDescent="0.25">
      <c r="A103" s="2" t="s">
        <v>140</v>
      </c>
      <c r="B103" s="1">
        <v>38</v>
      </c>
      <c r="C103" s="1" t="s">
        <v>28</v>
      </c>
      <c r="D103" s="1" t="s">
        <v>17</v>
      </c>
      <c r="E103" s="1" t="s">
        <v>33</v>
      </c>
      <c r="F103" s="1">
        <v>81656</v>
      </c>
      <c r="G103" s="14">
        <v>5</v>
      </c>
      <c r="H103" s="1">
        <v>4</v>
      </c>
      <c r="I103" s="1">
        <v>4</v>
      </c>
      <c r="J103" s="1" t="s">
        <v>20</v>
      </c>
      <c r="K103" s="1">
        <v>6</v>
      </c>
      <c r="L103" s="1" t="s">
        <v>19</v>
      </c>
      <c r="M103" s="1" t="s">
        <v>30</v>
      </c>
      <c r="N103" s="1">
        <v>60</v>
      </c>
      <c r="O103" s="3" t="s">
        <v>22</v>
      </c>
    </row>
    <row r="104" spans="1:15" x14ac:dyDescent="0.25">
      <c r="A104" s="2" t="s">
        <v>141</v>
      </c>
      <c r="B104" s="1">
        <v>39</v>
      </c>
      <c r="C104" s="1" t="s">
        <v>28</v>
      </c>
      <c r="D104" s="1" t="s">
        <v>24</v>
      </c>
      <c r="E104" s="1" t="s">
        <v>38</v>
      </c>
      <c r="F104" s="1">
        <v>58425</v>
      </c>
      <c r="G104" s="14">
        <v>1</v>
      </c>
      <c r="H104" s="1">
        <v>2</v>
      </c>
      <c r="I104" s="1">
        <v>4</v>
      </c>
      <c r="J104" s="1" t="s">
        <v>19</v>
      </c>
      <c r="K104" s="1">
        <v>0</v>
      </c>
      <c r="L104" s="1" t="s">
        <v>19</v>
      </c>
      <c r="M104" s="1" t="s">
        <v>30</v>
      </c>
      <c r="N104" s="1">
        <v>32</v>
      </c>
      <c r="O104" s="3" t="s">
        <v>44</v>
      </c>
    </row>
    <row r="105" spans="1:15" x14ac:dyDescent="0.25">
      <c r="A105" s="2" t="s">
        <v>142</v>
      </c>
      <c r="B105" s="1">
        <v>37</v>
      </c>
      <c r="C105" s="1" t="s">
        <v>28</v>
      </c>
      <c r="D105" s="1" t="s">
        <v>29</v>
      </c>
      <c r="E105" s="1" t="s">
        <v>35</v>
      </c>
      <c r="F105" s="1">
        <v>68925</v>
      </c>
      <c r="G105" s="14">
        <v>4</v>
      </c>
      <c r="H105" s="1">
        <v>4</v>
      </c>
      <c r="I105" s="1">
        <v>2</v>
      </c>
      <c r="J105" s="1" t="s">
        <v>19</v>
      </c>
      <c r="K105" s="1">
        <v>12</v>
      </c>
      <c r="L105" s="1" t="s">
        <v>19</v>
      </c>
      <c r="M105" s="1" t="s">
        <v>26</v>
      </c>
      <c r="N105" s="1">
        <v>76</v>
      </c>
      <c r="O105" s="3" t="s">
        <v>36</v>
      </c>
    </row>
    <row r="106" spans="1:15" x14ac:dyDescent="0.25">
      <c r="A106" s="2" t="s">
        <v>143</v>
      </c>
      <c r="B106" s="1">
        <v>25</v>
      </c>
      <c r="C106" s="1" t="s">
        <v>28</v>
      </c>
      <c r="D106" s="1" t="s">
        <v>17</v>
      </c>
      <c r="E106" s="1" t="s">
        <v>35</v>
      </c>
      <c r="F106" s="1">
        <v>75176</v>
      </c>
      <c r="G106" s="14">
        <v>1</v>
      </c>
      <c r="H106" s="1">
        <v>4</v>
      </c>
      <c r="I106" s="1">
        <v>1</v>
      </c>
      <c r="J106" s="1" t="s">
        <v>20</v>
      </c>
      <c r="K106" s="1">
        <v>18</v>
      </c>
      <c r="L106" s="1" t="s">
        <v>20</v>
      </c>
      <c r="M106" s="1" t="s">
        <v>26</v>
      </c>
      <c r="N106" s="1">
        <v>56</v>
      </c>
      <c r="O106" s="3" t="s">
        <v>42</v>
      </c>
    </row>
    <row r="107" spans="1:15" x14ac:dyDescent="0.25">
      <c r="A107" s="2" t="s">
        <v>144</v>
      </c>
      <c r="B107" s="1">
        <v>39</v>
      </c>
      <c r="C107" s="1" t="s">
        <v>16</v>
      </c>
      <c r="D107" s="1" t="s">
        <v>49</v>
      </c>
      <c r="E107" s="1" t="s">
        <v>35</v>
      </c>
      <c r="F107" s="1">
        <v>60568</v>
      </c>
      <c r="G107" s="14">
        <v>2</v>
      </c>
      <c r="H107" s="1">
        <v>5</v>
      </c>
      <c r="I107" s="1">
        <v>4</v>
      </c>
      <c r="J107" s="1" t="s">
        <v>20</v>
      </c>
      <c r="K107" s="1">
        <v>2</v>
      </c>
      <c r="L107" s="1" t="s">
        <v>20</v>
      </c>
      <c r="M107" s="1" t="s">
        <v>21</v>
      </c>
      <c r="N107" s="1">
        <v>36</v>
      </c>
      <c r="O107" s="3" t="s">
        <v>42</v>
      </c>
    </row>
    <row r="108" spans="1:15" x14ac:dyDescent="0.25">
      <c r="A108" s="2" t="s">
        <v>145</v>
      </c>
      <c r="B108" s="1">
        <v>58</v>
      </c>
      <c r="C108" s="1" t="s">
        <v>28</v>
      </c>
      <c r="D108" s="1" t="s">
        <v>24</v>
      </c>
      <c r="E108" s="1" t="s">
        <v>35</v>
      </c>
      <c r="F108" s="1">
        <v>69873</v>
      </c>
      <c r="G108" s="14">
        <v>3</v>
      </c>
      <c r="H108" s="1">
        <v>3</v>
      </c>
      <c r="I108" s="1">
        <v>2</v>
      </c>
      <c r="J108" s="1" t="s">
        <v>20</v>
      </c>
      <c r="K108" s="1">
        <v>5</v>
      </c>
      <c r="L108" s="1" t="s">
        <v>19</v>
      </c>
      <c r="M108" s="1" t="s">
        <v>26</v>
      </c>
      <c r="N108" s="1">
        <v>19</v>
      </c>
      <c r="O108" s="3" t="s">
        <v>31</v>
      </c>
    </row>
    <row r="109" spans="1:15" x14ac:dyDescent="0.25">
      <c r="A109" s="2" t="s">
        <v>146</v>
      </c>
      <c r="B109" s="1">
        <v>53</v>
      </c>
      <c r="C109" s="1" t="s">
        <v>16</v>
      </c>
      <c r="D109" s="1" t="s">
        <v>29</v>
      </c>
      <c r="E109" s="1" t="s">
        <v>18</v>
      </c>
      <c r="F109" s="1">
        <v>113339</v>
      </c>
      <c r="G109" s="14">
        <v>2</v>
      </c>
      <c r="H109" s="1">
        <v>2</v>
      </c>
      <c r="I109" s="1">
        <v>1</v>
      </c>
      <c r="J109" s="1" t="s">
        <v>19</v>
      </c>
      <c r="K109" s="1">
        <v>8</v>
      </c>
      <c r="L109" s="1" t="s">
        <v>19</v>
      </c>
      <c r="M109" s="1" t="s">
        <v>21</v>
      </c>
      <c r="N109" s="1">
        <v>24</v>
      </c>
      <c r="O109" s="3" t="s">
        <v>22</v>
      </c>
    </row>
    <row r="110" spans="1:15" x14ac:dyDescent="0.25">
      <c r="A110" s="2" t="s">
        <v>147</v>
      </c>
      <c r="B110" s="1">
        <v>32</v>
      </c>
      <c r="C110" s="1" t="s">
        <v>28</v>
      </c>
      <c r="D110" s="1" t="s">
        <v>49</v>
      </c>
      <c r="E110" s="1" t="s">
        <v>25</v>
      </c>
      <c r="F110" s="1">
        <v>117598</v>
      </c>
      <c r="G110" s="14">
        <v>5</v>
      </c>
      <c r="H110" s="1">
        <v>4</v>
      </c>
      <c r="I110" s="1">
        <v>5</v>
      </c>
      <c r="J110" s="1" t="s">
        <v>20</v>
      </c>
      <c r="K110" s="1">
        <v>20</v>
      </c>
      <c r="L110" s="1" t="s">
        <v>20</v>
      </c>
      <c r="M110" s="1" t="s">
        <v>21</v>
      </c>
      <c r="N110" s="1">
        <v>61</v>
      </c>
      <c r="O110" s="3" t="s">
        <v>22</v>
      </c>
    </row>
    <row r="111" spans="1:15" x14ac:dyDescent="0.25">
      <c r="A111" s="2" t="s">
        <v>148</v>
      </c>
      <c r="B111" s="1">
        <v>51</v>
      </c>
      <c r="C111" s="1" t="s">
        <v>28</v>
      </c>
      <c r="D111" s="1" t="s">
        <v>17</v>
      </c>
      <c r="E111" s="1" t="s">
        <v>18</v>
      </c>
      <c r="F111" s="1">
        <v>54002</v>
      </c>
      <c r="G111" s="14">
        <v>5</v>
      </c>
      <c r="H111" s="1">
        <v>1</v>
      </c>
      <c r="I111" s="1">
        <v>3</v>
      </c>
      <c r="J111" s="1" t="s">
        <v>19</v>
      </c>
      <c r="K111" s="1">
        <v>9</v>
      </c>
      <c r="L111" s="1" t="s">
        <v>20</v>
      </c>
      <c r="M111" s="1" t="s">
        <v>30</v>
      </c>
      <c r="N111" s="1">
        <v>9</v>
      </c>
      <c r="O111" s="3" t="s">
        <v>22</v>
      </c>
    </row>
    <row r="112" spans="1:15" x14ac:dyDescent="0.25">
      <c r="A112" s="2" t="s">
        <v>149</v>
      </c>
      <c r="B112" s="1">
        <v>39</v>
      </c>
      <c r="C112" s="1" t="s">
        <v>28</v>
      </c>
      <c r="D112" s="1" t="s">
        <v>40</v>
      </c>
      <c r="E112" s="1" t="s">
        <v>38</v>
      </c>
      <c r="F112" s="1">
        <v>68925</v>
      </c>
      <c r="G112" s="14">
        <v>5</v>
      </c>
      <c r="H112" s="1">
        <v>5</v>
      </c>
      <c r="I112" s="1">
        <v>5</v>
      </c>
      <c r="J112" s="1" t="s">
        <v>20</v>
      </c>
      <c r="K112" s="1">
        <v>14</v>
      </c>
      <c r="L112" s="1" t="s">
        <v>19</v>
      </c>
      <c r="M112" s="1" t="s">
        <v>30</v>
      </c>
      <c r="N112" s="1">
        <v>78</v>
      </c>
      <c r="O112" s="3" t="s">
        <v>44</v>
      </c>
    </row>
    <row r="113" spans="1:15" x14ac:dyDescent="0.25">
      <c r="A113" s="2" t="s">
        <v>150</v>
      </c>
      <c r="B113" s="1">
        <v>41</v>
      </c>
      <c r="C113" s="1" t="s">
        <v>28</v>
      </c>
      <c r="D113" s="1" t="s">
        <v>24</v>
      </c>
      <c r="E113" s="1" t="s">
        <v>41</v>
      </c>
      <c r="F113" s="1">
        <v>26109</v>
      </c>
      <c r="G113" s="14">
        <v>4</v>
      </c>
      <c r="H113" s="1">
        <v>1</v>
      </c>
      <c r="I113" s="1">
        <v>3</v>
      </c>
      <c r="J113" s="1" t="s">
        <v>19</v>
      </c>
      <c r="K113" s="1">
        <v>16</v>
      </c>
      <c r="L113" s="1" t="s">
        <v>19</v>
      </c>
      <c r="M113" s="1" t="s">
        <v>21</v>
      </c>
      <c r="N113" s="1">
        <v>36</v>
      </c>
      <c r="O113" s="3" t="s">
        <v>42</v>
      </c>
    </row>
    <row r="114" spans="1:15" x14ac:dyDescent="0.25">
      <c r="A114" s="2" t="s">
        <v>151</v>
      </c>
      <c r="B114" s="1">
        <v>49</v>
      </c>
      <c r="C114" s="1" t="s">
        <v>16</v>
      </c>
      <c r="D114" s="1" t="s">
        <v>29</v>
      </c>
      <c r="E114" s="1" t="s">
        <v>18</v>
      </c>
      <c r="F114" s="1">
        <v>55079</v>
      </c>
      <c r="G114" s="14">
        <v>3</v>
      </c>
      <c r="H114" s="1">
        <v>4</v>
      </c>
      <c r="I114" s="1">
        <v>3</v>
      </c>
      <c r="J114" s="1" t="s">
        <v>19</v>
      </c>
      <c r="K114" s="1">
        <v>20</v>
      </c>
      <c r="L114" s="1" t="s">
        <v>20</v>
      </c>
      <c r="M114" s="1" t="s">
        <v>21</v>
      </c>
      <c r="N114" s="1">
        <v>47</v>
      </c>
      <c r="O114" s="3" t="s">
        <v>22</v>
      </c>
    </row>
    <row r="115" spans="1:15" x14ac:dyDescent="0.25">
      <c r="A115" s="2" t="s">
        <v>152</v>
      </c>
      <c r="B115" s="1">
        <v>56</v>
      </c>
      <c r="C115" s="1" t="s">
        <v>28</v>
      </c>
      <c r="D115" s="1" t="s">
        <v>29</v>
      </c>
      <c r="E115" s="1" t="s">
        <v>18</v>
      </c>
      <c r="F115" s="1">
        <v>112861</v>
      </c>
      <c r="G115" s="14">
        <v>5</v>
      </c>
      <c r="H115" s="1">
        <v>2</v>
      </c>
      <c r="I115" s="1">
        <v>3</v>
      </c>
      <c r="J115" s="1" t="s">
        <v>19</v>
      </c>
      <c r="K115" s="1">
        <v>18</v>
      </c>
      <c r="L115" s="1" t="s">
        <v>19</v>
      </c>
      <c r="M115" s="1" t="s">
        <v>30</v>
      </c>
      <c r="N115" s="1">
        <v>44</v>
      </c>
      <c r="O115" s="3" t="s">
        <v>42</v>
      </c>
    </row>
    <row r="116" spans="1:15" x14ac:dyDescent="0.25">
      <c r="A116" s="2" t="s">
        <v>153</v>
      </c>
      <c r="B116" s="1">
        <v>29</v>
      </c>
      <c r="C116" s="1" t="s">
        <v>16</v>
      </c>
      <c r="D116" s="1" t="s">
        <v>29</v>
      </c>
      <c r="E116" s="1" t="s">
        <v>25</v>
      </c>
      <c r="F116" s="1">
        <v>67372</v>
      </c>
      <c r="G116" s="14">
        <v>3</v>
      </c>
      <c r="H116" s="1">
        <v>2</v>
      </c>
      <c r="I116" s="1">
        <v>5</v>
      </c>
      <c r="J116" s="1" t="s">
        <v>19</v>
      </c>
      <c r="K116" s="1">
        <v>20</v>
      </c>
      <c r="L116" s="1" t="s">
        <v>20</v>
      </c>
      <c r="M116" s="1" t="s">
        <v>26</v>
      </c>
      <c r="N116" s="1">
        <v>51</v>
      </c>
      <c r="O116" s="3" t="s">
        <v>22</v>
      </c>
    </row>
    <row r="117" spans="1:15" x14ac:dyDescent="0.25">
      <c r="A117" s="2" t="s">
        <v>154</v>
      </c>
      <c r="B117" s="1">
        <v>44</v>
      </c>
      <c r="C117" s="1" t="s">
        <v>28</v>
      </c>
      <c r="D117" s="1" t="s">
        <v>51</v>
      </c>
      <c r="E117" s="1" t="s">
        <v>41</v>
      </c>
      <c r="F117" s="1">
        <v>62791</v>
      </c>
      <c r="G117" s="14">
        <v>4</v>
      </c>
      <c r="H117" s="1">
        <v>2</v>
      </c>
      <c r="I117" s="1">
        <v>2</v>
      </c>
      <c r="J117" s="1" t="s">
        <v>19</v>
      </c>
      <c r="K117" s="1">
        <v>4</v>
      </c>
      <c r="L117" s="1" t="s">
        <v>19</v>
      </c>
      <c r="M117" s="1" t="s">
        <v>30</v>
      </c>
      <c r="N117" s="1">
        <v>17</v>
      </c>
      <c r="O117" s="3" t="s">
        <v>31</v>
      </c>
    </row>
    <row r="118" spans="1:15" x14ac:dyDescent="0.25">
      <c r="A118" s="2" t="s">
        <v>155</v>
      </c>
      <c r="B118" s="1">
        <v>55</v>
      </c>
      <c r="C118" s="1" t="s">
        <v>16</v>
      </c>
      <c r="D118" s="1" t="s">
        <v>17</v>
      </c>
      <c r="E118" s="1" t="s">
        <v>18</v>
      </c>
      <c r="F118" s="1">
        <v>118441</v>
      </c>
      <c r="G118" s="14">
        <v>5</v>
      </c>
      <c r="H118" s="1">
        <v>2</v>
      </c>
      <c r="I118" s="1">
        <v>5</v>
      </c>
      <c r="J118" s="1" t="s">
        <v>20</v>
      </c>
      <c r="K118" s="1">
        <v>4</v>
      </c>
      <c r="L118" s="1" t="s">
        <v>19</v>
      </c>
      <c r="M118" s="1" t="s">
        <v>21</v>
      </c>
      <c r="N118" s="1">
        <v>26</v>
      </c>
      <c r="O118" s="3" t="s">
        <v>42</v>
      </c>
    </row>
    <row r="119" spans="1:15" x14ac:dyDescent="0.25">
      <c r="A119" s="2" t="s">
        <v>156</v>
      </c>
      <c r="B119" s="1">
        <v>39</v>
      </c>
      <c r="C119" s="1" t="s">
        <v>28</v>
      </c>
      <c r="D119" s="1" t="s">
        <v>29</v>
      </c>
      <c r="E119" s="1" t="s">
        <v>38</v>
      </c>
      <c r="F119" s="1">
        <v>112317</v>
      </c>
      <c r="G119" s="14">
        <v>2</v>
      </c>
      <c r="H119" s="1">
        <v>4</v>
      </c>
      <c r="I119" s="1">
        <v>5</v>
      </c>
      <c r="J119" s="1" t="s">
        <v>20</v>
      </c>
      <c r="K119" s="1">
        <v>14</v>
      </c>
      <c r="L119" s="1" t="s">
        <v>19</v>
      </c>
      <c r="M119" s="1" t="s">
        <v>26</v>
      </c>
      <c r="N119" s="1">
        <v>35</v>
      </c>
      <c r="O119" s="3" t="s">
        <v>36</v>
      </c>
    </row>
    <row r="120" spans="1:15" x14ac:dyDescent="0.25">
      <c r="A120" s="2" t="s">
        <v>157</v>
      </c>
      <c r="B120" s="1">
        <v>51</v>
      </c>
      <c r="C120" s="1" t="s">
        <v>16</v>
      </c>
      <c r="D120" s="1" t="s">
        <v>29</v>
      </c>
      <c r="E120" s="1" t="s">
        <v>38</v>
      </c>
      <c r="F120" s="1">
        <v>92766</v>
      </c>
      <c r="G120" s="14">
        <v>4</v>
      </c>
      <c r="H120" s="1">
        <v>4</v>
      </c>
      <c r="I120" s="1">
        <v>3</v>
      </c>
      <c r="J120" s="1" t="s">
        <v>20</v>
      </c>
      <c r="K120" s="1">
        <v>16</v>
      </c>
      <c r="L120" s="1" t="s">
        <v>20</v>
      </c>
      <c r="M120" s="1" t="s">
        <v>21</v>
      </c>
      <c r="N120" s="1">
        <v>30</v>
      </c>
      <c r="O120" s="3" t="s">
        <v>31</v>
      </c>
    </row>
    <row r="121" spans="1:15" x14ac:dyDescent="0.25">
      <c r="A121" s="2" t="s">
        <v>158</v>
      </c>
      <c r="B121" s="1">
        <v>29</v>
      </c>
      <c r="C121" s="1" t="s">
        <v>28</v>
      </c>
      <c r="D121" s="1" t="s">
        <v>40</v>
      </c>
      <c r="E121" s="1" t="s">
        <v>38</v>
      </c>
      <c r="F121" s="1">
        <v>80991</v>
      </c>
      <c r="G121" s="14">
        <v>3</v>
      </c>
      <c r="H121" s="1">
        <v>5</v>
      </c>
      <c r="I121" s="1">
        <v>1</v>
      </c>
      <c r="J121" s="1" t="s">
        <v>19</v>
      </c>
      <c r="K121" s="1">
        <v>9</v>
      </c>
      <c r="L121" s="1" t="s">
        <v>19</v>
      </c>
      <c r="M121" s="1" t="s">
        <v>21</v>
      </c>
      <c r="N121" s="1">
        <v>39</v>
      </c>
      <c r="O121" s="3" t="s">
        <v>42</v>
      </c>
    </row>
    <row r="122" spans="1:15" x14ac:dyDescent="0.25">
      <c r="A122" s="2" t="s">
        <v>159</v>
      </c>
      <c r="B122" s="1">
        <v>53</v>
      </c>
      <c r="C122" s="1" t="s">
        <v>16</v>
      </c>
      <c r="D122" s="1" t="s">
        <v>49</v>
      </c>
      <c r="E122" s="1" t="s">
        <v>35</v>
      </c>
      <c r="F122" s="1">
        <v>47102</v>
      </c>
      <c r="G122" s="14">
        <v>4</v>
      </c>
      <c r="H122" s="1">
        <v>3</v>
      </c>
      <c r="I122" s="1">
        <v>1</v>
      </c>
      <c r="J122" s="1" t="s">
        <v>20</v>
      </c>
      <c r="K122" s="1">
        <v>1</v>
      </c>
      <c r="L122" s="1" t="s">
        <v>20</v>
      </c>
      <c r="M122" s="1" t="s">
        <v>26</v>
      </c>
      <c r="N122" s="1">
        <v>52</v>
      </c>
      <c r="O122" s="3" t="s">
        <v>44</v>
      </c>
    </row>
    <row r="123" spans="1:15" x14ac:dyDescent="0.25">
      <c r="A123" s="2" t="s">
        <v>160</v>
      </c>
      <c r="B123" s="1">
        <v>45</v>
      </c>
      <c r="C123" s="1" t="s">
        <v>16</v>
      </c>
      <c r="D123" s="1" t="s">
        <v>29</v>
      </c>
      <c r="E123" s="1" t="s">
        <v>41</v>
      </c>
      <c r="F123" s="1">
        <v>21694</v>
      </c>
      <c r="G123" s="14">
        <v>3</v>
      </c>
      <c r="H123" s="1">
        <v>1</v>
      </c>
      <c r="I123" s="1">
        <v>3</v>
      </c>
      <c r="J123" s="1" t="s">
        <v>19</v>
      </c>
      <c r="K123" s="1">
        <v>4</v>
      </c>
      <c r="L123" s="1" t="s">
        <v>19</v>
      </c>
      <c r="M123" s="1" t="s">
        <v>30</v>
      </c>
      <c r="N123" s="1">
        <v>65</v>
      </c>
      <c r="O123" s="3" t="s">
        <v>44</v>
      </c>
    </row>
    <row r="124" spans="1:15" x14ac:dyDescent="0.25">
      <c r="A124" s="2" t="s">
        <v>161</v>
      </c>
      <c r="B124" s="1">
        <v>51</v>
      </c>
      <c r="C124" s="1" t="s">
        <v>28</v>
      </c>
      <c r="D124" s="1" t="s">
        <v>24</v>
      </c>
      <c r="E124" s="1" t="s">
        <v>35</v>
      </c>
      <c r="F124" s="1">
        <v>28384</v>
      </c>
      <c r="G124" s="14">
        <v>1</v>
      </c>
      <c r="H124" s="1">
        <v>3</v>
      </c>
      <c r="I124" s="1">
        <v>2</v>
      </c>
      <c r="J124" s="1" t="s">
        <v>19</v>
      </c>
      <c r="K124" s="1">
        <v>17</v>
      </c>
      <c r="L124" s="1" t="s">
        <v>20</v>
      </c>
      <c r="M124" s="1" t="s">
        <v>21</v>
      </c>
      <c r="N124" s="1">
        <v>41</v>
      </c>
      <c r="O124" s="3" t="s">
        <v>44</v>
      </c>
    </row>
    <row r="125" spans="1:15" x14ac:dyDescent="0.25">
      <c r="A125" s="2" t="s">
        <v>162</v>
      </c>
      <c r="B125" s="1">
        <v>40</v>
      </c>
      <c r="C125" s="1" t="s">
        <v>16</v>
      </c>
      <c r="D125" s="1" t="s">
        <v>40</v>
      </c>
      <c r="E125" s="1" t="s">
        <v>41</v>
      </c>
      <c r="F125" s="1">
        <v>73027</v>
      </c>
      <c r="G125" s="14">
        <v>5</v>
      </c>
      <c r="H125" s="1">
        <v>4</v>
      </c>
      <c r="I125" s="1">
        <v>1</v>
      </c>
      <c r="J125" s="1" t="s">
        <v>19</v>
      </c>
      <c r="K125" s="1">
        <v>15</v>
      </c>
      <c r="L125" s="1" t="s">
        <v>19</v>
      </c>
      <c r="M125" s="1" t="s">
        <v>26</v>
      </c>
      <c r="N125" s="1">
        <v>70</v>
      </c>
      <c r="O125" s="3" t="s">
        <v>31</v>
      </c>
    </row>
    <row r="126" spans="1:15" x14ac:dyDescent="0.25">
      <c r="A126" s="2" t="s">
        <v>163</v>
      </c>
      <c r="B126" s="1">
        <v>36</v>
      </c>
      <c r="C126" s="1" t="s">
        <v>16</v>
      </c>
      <c r="D126" s="1" t="s">
        <v>29</v>
      </c>
      <c r="E126" s="1" t="s">
        <v>33</v>
      </c>
      <c r="F126" s="1">
        <v>18205</v>
      </c>
      <c r="G126" s="14">
        <v>5</v>
      </c>
      <c r="H126" s="1">
        <v>3</v>
      </c>
      <c r="I126" s="1">
        <v>2</v>
      </c>
      <c r="J126" s="1" t="s">
        <v>20</v>
      </c>
      <c r="K126" s="1">
        <v>5</v>
      </c>
      <c r="L126" s="1" t="s">
        <v>19</v>
      </c>
      <c r="M126" s="1" t="s">
        <v>26</v>
      </c>
      <c r="N126" s="1">
        <v>51</v>
      </c>
      <c r="O126" s="3" t="s">
        <v>22</v>
      </c>
    </row>
    <row r="127" spans="1:15" x14ac:dyDescent="0.25">
      <c r="A127" s="2" t="s">
        <v>164</v>
      </c>
      <c r="B127" s="1">
        <v>54</v>
      </c>
      <c r="C127" s="1" t="s">
        <v>16</v>
      </c>
      <c r="D127" s="1" t="s">
        <v>49</v>
      </c>
      <c r="E127" s="1" t="s">
        <v>33</v>
      </c>
      <c r="F127" s="1">
        <v>23706</v>
      </c>
      <c r="G127" s="14">
        <v>4</v>
      </c>
      <c r="H127" s="1">
        <v>3</v>
      </c>
      <c r="I127" s="1">
        <v>3</v>
      </c>
      <c r="J127" s="1" t="s">
        <v>19</v>
      </c>
      <c r="K127" s="1">
        <v>11</v>
      </c>
      <c r="L127" s="1" t="s">
        <v>19</v>
      </c>
      <c r="M127" s="1" t="s">
        <v>30</v>
      </c>
      <c r="N127" s="1">
        <v>35</v>
      </c>
      <c r="O127" s="3" t="s">
        <v>22</v>
      </c>
    </row>
    <row r="128" spans="1:15" x14ac:dyDescent="0.25">
      <c r="A128" s="2" t="s">
        <v>165</v>
      </c>
      <c r="B128" s="1">
        <v>58</v>
      </c>
      <c r="C128" s="1" t="s">
        <v>28</v>
      </c>
      <c r="D128" s="1" t="s">
        <v>51</v>
      </c>
      <c r="E128" s="1" t="s">
        <v>35</v>
      </c>
      <c r="F128" s="1">
        <v>64176</v>
      </c>
      <c r="G128" s="14">
        <v>5</v>
      </c>
      <c r="H128" s="1">
        <v>3</v>
      </c>
      <c r="I128" s="1">
        <v>3</v>
      </c>
      <c r="J128" s="1" t="s">
        <v>20</v>
      </c>
      <c r="K128" s="1">
        <v>15</v>
      </c>
      <c r="L128" s="1" t="s">
        <v>19</v>
      </c>
      <c r="M128" s="1" t="s">
        <v>21</v>
      </c>
      <c r="N128" s="1">
        <v>13</v>
      </c>
      <c r="O128" s="3" t="s">
        <v>42</v>
      </c>
    </row>
    <row r="129" spans="1:15" x14ac:dyDescent="0.25">
      <c r="A129" s="2" t="s">
        <v>166</v>
      </c>
      <c r="B129" s="1">
        <v>23</v>
      </c>
      <c r="C129" s="1" t="s">
        <v>28</v>
      </c>
      <c r="D129" s="1" t="s">
        <v>51</v>
      </c>
      <c r="E129" s="1" t="s">
        <v>35</v>
      </c>
      <c r="F129" s="1">
        <v>44144</v>
      </c>
      <c r="G129" s="14">
        <v>1</v>
      </c>
      <c r="H129" s="1">
        <v>3</v>
      </c>
      <c r="I129" s="1">
        <v>3</v>
      </c>
      <c r="J129" s="1" t="s">
        <v>20</v>
      </c>
      <c r="K129" s="1">
        <v>17</v>
      </c>
      <c r="L129" s="1" t="s">
        <v>20</v>
      </c>
      <c r="M129" s="1" t="s">
        <v>30</v>
      </c>
      <c r="N129" s="1">
        <v>9</v>
      </c>
      <c r="O129" s="3" t="s">
        <v>44</v>
      </c>
    </row>
    <row r="130" spans="1:15" x14ac:dyDescent="0.25">
      <c r="A130" s="2" t="s">
        <v>167</v>
      </c>
      <c r="B130" s="1">
        <v>39</v>
      </c>
      <c r="C130" s="1" t="s">
        <v>28</v>
      </c>
      <c r="D130" s="1" t="s">
        <v>40</v>
      </c>
      <c r="E130" s="1" t="s">
        <v>38</v>
      </c>
      <c r="F130" s="1">
        <v>61506</v>
      </c>
      <c r="G130" s="14">
        <v>3</v>
      </c>
      <c r="H130" s="1">
        <v>1</v>
      </c>
      <c r="I130" s="1">
        <v>3</v>
      </c>
      <c r="J130" s="1" t="s">
        <v>20</v>
      </c>
      <c r="K130" s="1">
        <v>12</v>
      </c>
      <c r="L130" s="1" t="s">
        <v>20</v>
      </c>
      <c r="M130" s="1" t="s">
        <v>30</v>
      </c>
      <c r="N130" s="1">
        <v>48</v>
      </c>
      <c r="O130" s="3" t="s">
        <v>44</v>
      </c>
    </row>
    <row r="131" spans="1:15" x14ac:dyDescent="0.25">
      <c r="A131" s="2" t="s">
        <v>168</v>
      </c>
      <c r="B131" s="1">
        <v>52</v>
      </c>
      <c r="C131" s="1" t="s">
        <v>28</v>
      </c>
      <c r="D131" s="1" t="s">
        <v>29</v>
      </c>
      <c r="E131" s="1" t="s">
        <v>25</v>
      </c>
      <c r="F131" s="1">
        <v>52959</v>
      </c>
      <c r="G131" s="14">
        <v>1</v>
      </c>
      <c r="H131" s="1">
        <v>4</v>
      </c>
      <c r="I131" s="1">
        <v>1</v>
      </c>
      <c r="J131" s="1" t="s">
        <v>20</v>
      </c>
      <c r="K131" s="1">
        <v>19</v>
      </c>
      <c r="L131" s="1" t="s">
        <v>19</v>
      </c>
      <c r="M131" s="1" t="s">
        <v>26</v>
      </c>
      <c r="N131" s="1">
        <v>42</v>
      </c>
      <c r="O131" s="3" t="s">
        <v>36</v>
      </c>
    </row>
    <row r="132" spans="1:15" x14ac:dyDescent="0.25">
      <c r="A132" s="2" t="s">
        <v>169</v>
      </c>
      <c r="B132" s="1">
        <v>27</v>
      </c>
      <c r="C132" s="1" t="s">
        <v>16</v>
      </c>
      <c r="D132" s="1" t="s">
        <v>29</v>
      </c>
      <c r="E132" s="1" t="s">
        <v>38</v>
      </c>
      <c r="F132" s="1">
        <v>56750</v>
      </c>
      <c r="G132" s="14">
        <v>3</v>
      </c>
      <c r="H132" s="1">
        <v>4</v>
      </c>
      <c r="I132" s="1">
        <v>5</v>
      </c>
      <c r="J132" s="1" t="s">
        <v>20</v>
      </c>
      <c r="K132" s="1">
        <v>5</v>
      </c>
      <c r="L132" s="1" t="s">
        <v>20</v>
      </c>
      <c r="M132" s="1" t="s">
        <v>30</v>
      </c>
      <c r="N132" s="1">
        <v>62</v>
      </c>
      <c r="O132" s="3" t="s">
        <v>22</v>
      </c>
    </row>
    <row r="133" spans="1:15" x14ac:dyDescent="0.25">
      <c r="A133" s="2" t="s">
        <v>170</v>
      </c>
      <c r="B133" s="1">
        <v>43</v>
      </c>
      <c r="C133" s="1" t="s">
        <v>28</v>
      </c>
      <c r="D133" s="1" t="s">
        <v>29</v>
      </c>
      <c r="E133" s="1" t="s">
        <v>38</v>
      </c>
      <c r="F133" s="1">
        <v>25518</v>
      </c>
      <c r="G133" s="14">
        <v>1</v>
      </c>
      <c r="H133" s="1">
        <v>4</v>
      </c>
      <c r="I133" s="1">
        <v>3</v>
      </c>
      <c r="J133" s="1" t="s">
        <v>19</v>
      </c>
      <c r="K133" s="1">
        <v>0</v>
      </c>
      <c r="L133" s="1" t="s">
        <v>19</v>
      </c>
      <c r="M133" s="1" t="s">
        <v>26</v>
      </c>
      <c r="N133" s="1">
        <v>61</v>
      </c>
      <c r="O133" s="3" t="s">
        <v>22</v>
      </c>
    </row>
    <row r="134" spans="1:15" x14ac:dyDescent="0.25">
      <c r="A134" s="2" t="s">
        <v>171</v>
      </c>
      <c r="B134" s="1">
        <v>29</v>
      </c>
      <c r="C134" s="1" t="s">
        <v>16</v>
      </c>
      <c r="D134" s="1" t="s">
        <v>51</v>
      </c>
      <c r="E134" s="1" t="s">
        <v>38</v>
      </c>
      <c r="F134" s="1">
        <v>66015</v>
      </c>
      <c r="G134" s="14">
        <v>3</v>
      </c>
      <c r="H134" s="1">
        <v>4</v>
      </c>
      <c r="I134" s="1">
        <v>5</v>
      </c>
      <c r="J134" s="1" t="s">
        <v>19</v>
      </c>
      <c r="K134" s="1">
        <v>19</v>
      </c>
      <c r="L134" s="1" t="s">
        <v>19</v>
      </c>
      <c r="M134" s="1" t="s">
        <v>26</v>
      </c>
      <c r="N134" s="1">
        <v>62</v>
      </c>
      <c r="O134" s="3" t="s">
        <v>36</v>
      </c>
    </row>
    <row r="135" spans="1:15" x14ac:dyDescent="0.25">
      <c r="A135" s="2" t="s">
        <v>172</v>
      </c>
      <c r="B135" s="1">
        <v>44</v>
      </c>
      <c r="C135" s="1" t="s">
        <v>28</v>
      </c>
      <c r="D135" s="1" t="s">
        <v>40</v>
      </c>
      <c r="E135" s="1" t="s">
        <v>25</v>
      </c>
      <c r="F135" s="1">
        <v>36047</v>
      </c>
      <c r="G135" s="14">
        <v>5</v>
      </c>
      <c r="H135" s="1">
        <v>3</v>
      </c>
      <c r="I135" s="1">
        <v>4</v>
      </c>
      <c r="J135" s="1" t="s">
        <v>20</v>
      </c>
      <c r="K135" s="1">
        <v>20</v>
      </c>
      <c r="L135" s="1" t="s">
        <v>20</v>
      </c>
      <c r="M135" s="1" t="s">
        <v>21</v>
      </c>
      <c r="N135" s="1">
        <v>19</v>
      </c>
      <c r="O135" s="3" t="s">
        <v>22</v>
      </c>
    </row>
    <row r="136" spans="1:15" x14ac:dyDescent="0.25">
      <c r="A136" s="2" t="s">
        <v>173</v>
      </c>
      <c r="B136" s="1">
        <v>32</v>
      </c>
      <c r="C136" s="1" t="s">
        <v>28</v>
      </c>
      <c r="D136" s="1" t="s">
        <v>24</v>
      </c>
      <c r="E136" s="1" t="s">
        <v>33</v>
      </c>
      <c r="F136" s="1">
        <v>91619</v>
      </c>
      <c r="G136" s="14">
        <v>1</v>
      </c>
      <c r="H136" s="1">
        <v>3</v>
      </c>
      <c r="I136" s="1">
        <v>3</v>
      </c>
      <c r="J136" s="1" t="s">
        <v>20</v>
      </c>
      <c r="K136" s="1">
        <v>6</v>
      </c>
      <c r="L136" s="1" t="s">
        <v>20</v>
      </c>
      <c r="M136" s="1" t="s">
        <v>26</v>
      </c>
      <c r="N136" s="1">
        <v>67</v>
      </c>
      <c r="O136" s="3" t="s">
        <v>44</v>
      </c>
    </row>
    <row r="137" spans="1:15" x14ac:dyDescent="0.25">
      <c r="A137" s="2" t="s">
        <v>174</v>
      </c>
      <c r="B137" s="1">
        <v>28</v>
      </c>
      <c r="C137" s="1" t="s">
        <v>16</v>
      </c>
      <c r="D137" s="1" t="s">
        <v>40</v>
      </c>
      <c r="E137" s="1" t="s">
        <v>33</v>
      </c>
      <c r="F137" s="1">
        <v>40630</v>
      </c>
      <c r="G137" s="14">
        <v>4</v>
      </c>
      <c r="H137" s="1">
        <v>1</v>
      </c>
      <c r="I137" s="1">
        <v>3</v>
      </c>
      <c r="J137" s="1" t="s">
        <v>20</v>
      </c>
      <c r="K137" s="1">
        <v>2</v>
      </c>
      <c r="L137" s="1" t="s">
        <v>20</v>
      </c>
      <c r="M137" s="1" t="s">
        <v>30</v>
      </c>
      <c r="N137" s="1">
        <v>25</v>
      </c>
      <c r="O137" s="3" t="s">
        <v>44</v>
      </c>
    </row>
    <row r="138" spans="1:15" x14ac:dyDescent="0.25">
      <c r="A138" s="2" t="s">
        <v>175</v>
      </c>
      <c r="B138" s="1">
        <v>44</v>
      </c>
      <c r="C138" s="1" t="s">
        <v>16</v>
      </c>
      <c r="D138" s="1" t="s">
        <v>40</v>
      </c>
      <c r="E138" s="1" t="s">
        <v>41</v>
      </c>
      <c r="F138" s="1">
        <v>36202</v>
      </c>
      <c r="G138" s="14">
        <v>2</v>
      </c>
      <c r="H138" s="1">
        <v>4</v>
      </c>
      <c r="I138" s="1">
        <v>1</v>
      </c>
      <c r="J138" s="1" t="s">
        <v>20</v>
      </c>
      <c r="K138" s="1">
        <v>17</v>
      </c>
      <c r="L138" s="1" t="s">
        <v>20</v>
      </c>
      <c r="M138" s="1" t="s">
        <v>30</v>
      </c>
      <c r="N138" s="1">
        <v>75</v>
      </c>
      <c r="O138" s="3" t="s">
        <v>44</v>
      </c>
    </row>
    <row r="139" spans="1:15" x14ac:dyDescent="0.25">
      <c r="A139" s="2" t="s">
        <v>176</v>
      </c>
      <c r="B139" s="1">
        <v>26</v>
      </c>
      <c r="C139" s="1" t="s">
        <v>16</v>
      </c>
      <c r="D139" s="1" t="s">
        <v>29</v>
      </c>
      <c r="E139" s="1" t="s">
        <v>33</v>
      </c>
      <c r="F139" s="1">
        <v>111969</v>
      </c>
      <c r="G139" s="14">
        <v>4</v>
      </c>
      <c r="H139" s="1">
        <v>5</v>
      </c>
      <c r="I139" s="1">
        <v>4</v>
      </c>
      <c r="J139" s="1" t="s">
        <v>20</v>
      </c>
      <c r="K139" s="1">
        <v>18</v>
      </c>
      <c r="L139" s="1" t="s">
        <v>19</v>
      </c>
      <c r="M139" s="1" t="s">
        <v>21</v>
      </c>
      <c r="N139" s="1">
        <v>45</v>
      </c>
      <c r="O139" s="3" t="s">
        <v>22</v>
      </c>
    </row>
    <row r="140" spans="1:15" x14ac:dyDescent="0.25">
      <c r="A140" s="2" t="s">
        <v>177</v>
      </c>
      <c r="B140" s="1">
        <v>49</v>
      </c>
      <c r="C140" s="1" t="s">
        <v>28</v>
      </c>
      <c r="D140" s="1" t="s">
        <v>17</v>
      </c>
      <c r="E140" s="1" t="s">
        <v>25</v>
      </c>
      <c r="F140" s="1">
        <v>68925</v>
      </c>
      <c r="G140" s="14">
        <v>2</v>
      </c>
      <c r="H140" s="1">
        <v>5</v>
      </c>
      <c r="I140" s="1">
        <v>5</v>
      </c>
      <c r="J140" s="1" t="s">
        <v>19</v>
      </c>
      <c r="K140" s="1">
        <v>4</v>
      </c>
      <c r="L140" s="1" t="s">
        <v>20</v>
      </c>
      <c r="M140" s="1" t="s">
        <v>26</v>
      </c>
      <c r="N140" s="1">
        <v>12</v>
      </c>
      <c r="O140" s="3" t="s">
        <v>22</v>
      </c>
    </row>
    <row r="141" spans="1:15" x14ac:dyDescent="0.25">
      <c r="A141" s="2" t="s">
        <v>178</v>
      </c>
      <c r="B141" s="1">
        <v>54</v>
      </c>
      <c r="C141" s="1" t="s">
        <v>16</v>
      </c>
      <c r="D141" s="1" t="s">
        <v>29</v>
      </c>
      <c r="E141" s="1" t="s">
        <v>41</v>
      </c>
      <c r="F141" s="1">
        <v>39229</v>
      </c>
      <c r="G141" s="14">
        <v>3</v>
      </c>
      <c r="H141" s="1">
        <v>2</v>
      </c>
      <c r="I141" s="1">
        <v>3</v>
      </c>
      <c r="J141" s="1" t="s">
        <v>20</v>
      </c>
      <c r="K141" s="1">
        <v>2</v>
      </c>
      <c r="L141" s="1" t="s">
        <v>20</v>
      </c>
      <c r="M141" s="1" t="s">
        <v>21</v>
      </c>
      <c r="N141" s="1">
        <v>75</v>
      </c>
      <c r="O141" s="3" t="s">
        <v>36</v>
      </c>
    </row>
    <row r="142" spans="1:15" x14ac:dyDescent="0.25">
      <c r="A142" s="2" t="s">
        <v>179</v>
      </c>
      <c r="B142" s="1">
        <v>29</v>
      </c>
      <c r="C142" s="1" t="s">
        <v>28</v>
      </c>
      <c r="D142" s="1" t="s">
        <v>24</v>
      </c>
      <c r="E142" s="1" t="s">
        <v>25</v>
      </c>
      <c r="F142" s="1">
        <v>30245</v>
      </c>
      <c r="G142" s="14">
        <v>5</v>
      </c>
      <c r="H142" s="1">
        <v>2</v>
      </c>
      <c r="I142" s="1">
        <v>5</v>
      </c>
      <c r="J142" s="1" t="s">
        <v>19</v>
      </c>
      <c r="K142" s="1">
        <v>5</v>
      </c>
      <c r="L142" s="1" t="s">
        <v>20</v>
      </c>
      <c r="M142" s="1" t="s">
        <v>26</v>
      </c>
      <c r="N142" s="1">
        <v>10</v>
      </c>
      <c r="O142" s="3" t="s">
        <v>22</v>
      </c>
    </row>
    <row r="143" spans="1:15" x14ac:dyDescent="0.25">
      <c r="A143" s="2" t="s">
        <v>180</v>
      </c>
      <c r="B143" s="1">
        <v>26</v>
      </c>
      <c r="C143" s="1" t="s">
        <v>16</v>
      </c>
      <c r="D143" s="1" t="s">
        <v>17</v>
      </c>
      <c r="E143" s="1" t="s">
        <v>25</v>
      </c>
      <c r="F143" s="1">
        <v>52688</v>
      </c>
      <c r="G143" s="14">
        <v>2</v>
      </c>
      <c r="H143" s="1">
        <v>5</v>
      </c>
      <c r="I143" s="1">
        <v>4</v>
      </c>
      <c r="J143" s="1" t="s">
        <v>19</v>
      </c>
      <c r="K143" s="1">
        <v>15</v>
      </c>
      <c r="L143" s="1" t="s">
        <v>20</v>
      </c>
      <c r="M143" s="1" t="s">
        <v>26</v>
      </c>
      <c r="N143" s="1">
        <v>43</v>
      </c>
      <c r="O143" s="3" t="s">
        <v>42</v>
      </c>
    </row>
    <row r="144" spans="1:15" x14ac:dyDescent="0.25">
      <c r="A144" s="2" t="s">
        <v>181</v>
      </c>
      <c r="B144" s="1">
        <v>36</v>
      </c>
      <c r="C144" s="1" t="s">
        <v>28</v>
      </c>
      <c r="D144" s="1" t="s">
        <v>29</v>
      </c>
      <c r="E144" s="1" t="s">
        <v>33</v>
      </c>
      <c r="F144" s="1">
        <v>27564</v>
      </c>
      <c r="G144" s="14">
        <v>1</v>
      </c>
      <c r="H144" s="1">
        <v>2</v>
      </c>
      <c r="I144" s="1">
        <v>3</v>
      </c>
      <c r="J144" s="1" t="s">
        <v>20</v>
      </c>
      <c r="K144" s="1">
        <v>15</v>
      </c>
      <c r="L144" s="1" t="s">
        <v>20</v>
      </c>
      <c r="M144" s="1" t="s">
        <v>21</v>
      </c>
      <c r="N144" s="1">
        <v>48</v>
      </c>
      <c r="O144" s="3" t="s">
        <v>31</v>
      </c>
    </row>
    <row r="145" spans="1:15" x14ac:dyDescent="0.25">
      <c r="A145" s="2" t="s">
        <v>182</v>
      </c>
      <c r="B145" s="1">
        <v>30</v>
      </c>
      <c r="C145" s="1" t="s">
        <v>28</v>
      </c>
      <c r="D145" s="1" t="s">
        <v>17</v>
      </c>
      <c r="E145" s="1" t="s">
        <v>18</v>
      </c>
      <c r="F145" s="1">
        <v>114233</v>
      </c>
      <c r="G145" s="14">
        <v>3</v>
      </c>
      <c r="H145" s="1">
        <v>4</v>
      </c>
      <c r="I145" s="1">
        <v>2</v>
      </c>
      <c r="J145" s="1" t="s">
        <v>20</v>
      </c>
      <c r="K145" s="1">
        <v>16</v>
      </c>
      <c r="L145" s="1" t="s">
        <v>19</v>
      </c>
      <c r="M145" s="1" t="s">
        <v>30</v>
      </c>
      <c r="N145" s="1">
        <v>35</v>
      </c>
      <c r="O145" s="3" t="s">
        <v>42</v>
      </c>
    </row>
    <row r="146" spans="1:15" x14ac:dyDescent="0.25">
      <c r="A146" s="2" t="s">
        <v>183</v>
      </c>
      <c r="B146" s="1">
        <v>28</v>
      </c>
      <c r="C146" s="1" t="s">
        <v>28</v>
      </c>
      <c r="D146" s="1" t="s">
        <v>49</v>
      </c>
      <c r="E146" s="1" t="s">
        <v>41</v>
      </c>
      <c r="F146" s="1">
        <v>36465</v>
      </c>
      <c r="G146" s="14">
        <v>1</v>
      </c>
      <c r="H146" s="1">
        <v>1</v>
      </c>
      <c r="I146" s="1">
        <v>3</v>
      </c>
      <c r="J146" s="1" t="s">
        <v>20</v>
      </c>
      <c r="K146" s="1">
        <v>19</v>
      </c>
      <c r="L146" s="1" t="s">
        <v>20</v>
      </c>
      <c r="M146" s="1" t="s">
        <v>21</v>
      </c>
      <c r="N146" s="1">
        <v>25</v>
      </c>
      <c r="O146" s="3" t="s">
        <v>36</v>
      </c>
    </row>
    <row r="147" spans="1:15" x14ac:dyDescent="0.25">
      <c r="A147" s="2" t="s">
        <v>184</v>
      </c>
      <c r="B147" s="1">
        <v>57</v>
      </c>
      <c r="C147" s="1" t="s">
        <v>28</v>
      </c>
      <c r="D147" s="1" t="s">
        <v>51</v>
      </c>
      <c r="E147" s="1" t="s">
        <v>41</v>
      </c>
      <c r="F147" s="1">
        <v>83308</v>
      </c>
      <c r="G147" s="14">
        <v>5</v>
      </c>
      <c r="H147" s="1">
        <v>4</v>
      </c>
      <c r="I147" s="1">
        <v>4</v>
      </c>
      <c r="J147" s="1" t="s">
        <v>20</v>
      </c>
      <c r="K147" s="1">
        <v>15</v>
      </c>
      <c r="L147" s="1" t="s">
        <v>19</v>
      </c>
      <c r="M147" s="1" t="s">
        <v>21</v>
      </c>
      <c r="N147" s="1">
        <v>55</v>
      </c>
      <c r="O147" s="3" t="s">
        <v>31</v>
      </c>
    </row>
    <row r="148" spans="1:15" x14ac:dyDescent="0.25">
      <c r="A148" s="2" t="s">
        <v>185</v>
      </c>
      <c r="B148" s="1">
        <v>50</v>
      </c>
      <c r="C148" s="1" t="s">
        <v>16</v>
      </c>
      <c r="D148" s="1" t="s">
        <v>51</v>
      </c>
      <c r="E148" s="1" t="s">
        <v>25</v>
      </c>
      <c r="F148" s="1">
        <v>64254</v>
      </c>
      <c r="G148" s="14">
        <v>1</v>
      </c>
      <c r="H148" s="1">
        <v>1</v>
      </c>
      <c r="I148" s="1">
        <v>3</v>
      </c>
      <c r="J148" s="1" t="s">
        <v>20</v>
      </c>
      <c r="K148" s="1">
        <v>19</v>
      </c>
      <c r="L148" s="1" t="s">
        <v>20</v>
      </c>
      <c r="M148" s="1" t="s">
        <v>30</v>
      </c>
      <c r="N148" s="1">
        <v>73</v>
      </c>
      <c r="O148" s="3" t="s">
        <v>22</v>
      </c>
    </row>
    <row r="149" spans="1:15" x14ac:dyDescent="0.25">
      <c r="A149" s="2" t="s">
        <v>186</v>
      </c>
      <c r="B149" s="1">
        <v>27</v>
      </c>
      <c r="C149" s="1" t="s">
        <v>28</v>
      </c>
      <c r="D149" s="1" t="s">
        <v>51</v>
      </c>
      <c r="E149" s="1" t="s">
        <v>18</v>
      </c>
      <c r="F149" s="1">
        <v>113355</v>
      </c>
      <c r="G149" s="14">
        <v>3</v>
      </c>
      <c r="H149" s="1">
        <v>4</v>
      </c>
      <c r="I149" s="1">
        <v>3</v>
      </c>
      <c r="J149" s="1" t="s">
        <v>19</v>
      </c>
      <c r="K149" s="1">
        <v>12</v>
      </c>
      <c r="L149" s="1" t="s">
        <v>19</v>
      </c>
      <c r="M149" s="1" t="s">
        <v>26</v>
      </c>
      <c r="N149" s="1">
        <v>76</v>
      </c>
      <c r="O149" s="3" t="s">
        <v>44</v>
      </c>
    </row>
    <row r="150" spans="1:15" x14ac:dyDescent="0.25">
      <c r="A150" s="2" t="s">
        <v>187</v>
      </c>
      <c r="B150" s="1">
        <v>44</v>
      </c>
      <c r="C150" s="1" t="s">
        <v>28</v>
      </c>
      <c r="D150" s="1" t="s">
        <v>40</v>
      </c>
      <c r="E150" s="1" t="s">
        <v>33</v>
      </c>
      <c r="F150" s="1">
        <v>84093</v>
      </c>
      <c r="G150" s="14">
        <v>4</v>
      </c>
      <c r="H150" s="1">
        <v>5</v>
      </c>
      <c r="I150" s="1">
        <v>3</v>
      </c>
      <c r="J150" s="1" t="s">
        <v>19</v>
      </c>
      <c r="K150" s="1">
        <v>4</v>
      </c>
      <c r="L150" s="1" t="s">
        <v>19</v>
      </c>
      <c r="M150" s="1" t="s">
        <v>30</v>
      </c>
      <c r="N150" s="1">
        <v>52</v>
      </c>
      <c r="O150" s="3" t="s">
        <v>36</v>
      </c>
    </row>
    <row r="151" spans="1:15" x14ac:dyDescent="0.25">
      <c r="A151" s="2" t="s">
        <v>188</v>
      </c>
      <c r="B151" s="1">
        <v>56</v>
      </c>
      <c r="C151" s="1" t="s">
        <v>28</v>
      </c>
      <c r="D151" s="1" t="s">
        <v>51</v>
      </c>
      <c r="E151" s="1" t="s">
        <v>41</v>
      </c>
      <c r="F151" s="1">
        <v>96966</v>
      </c>
      <c r="G151" s="14">
        <v>5</v>
      </c>
      <c r="H151" s="1">
        <v>4</v>
      </c>
      <c r="I151" s="1">
        <v>5</v>
      </c>
      <c r="J151" s="1" t="s">
        <v>19</v>
      </c>
      <c r="K151" s="1">
        <v>1</v>
      </c>
      <c r="L151" s="1" t="s">
        <v>19</v>
      </c>
      <c r="M151" s="1" t="s">
        <v>21</v>
      </c>
      <c r="N151" s="1">
        <v>47</v>
      </c>
      <c r="O151" s="3" t="s">
        <v>42</v>
      </c>
    </row>
    <row r="152" spans="1:15" x14ac:dyDescent="0.25">
      <c r="A152" s="2" t="s">
        <v>189</v>
      </c>
      <c r="B152" s="1">
        <v>54</v>
      </c>
      <c r="C152" s="1" t="s">
        <v>28</v>
      </c>
      <c r="D152" s="1" t="s">
        <v>51</v>
      </c>
      <c r="E152" s="1" t="s">
        <v>25</v>
      </c>
      <c r="F152" s="1">
        <v>85568</v>
      </c>
      <c r="G152" s="14">
        <v>2</v>
      </c>
      <c r="H152" s="1">
        <v>3</v>
      </c>
      <c r="I152" s="1">
        <v>5</v>
      </c>
      <c r="J152" s="1" t="s">
        <v>20</v>
      </c>
      <c r="K152" s="1">
        <v>5</v>
      </c>
      <c r="L152" s="1" t="s">
        <v>20</v>
      </c>
      <c r="M152" s="1" t="s">
        <v>26</v>
      </c>
      <c r="N152" s="1">
        <v>43</v>
      </c>
      <c r="O152" s="3" t="s">
        <v>31</v>
      </c>
    </row>
    <row r="153" spans="1:15" x14ac:dyDescent="0.25">
      <c r="A153" s="2" t="s">
        <v>190</v>
      </c>
      <c r="B153" s="1">
        <v>42</v>
      </c>
      <c r="C153" s="1" t="s">
        <v>28</v>
      </c>
      <c r="D153" s="1" t="s">
        <v>17</v>
      </c>
      <c r="E153" s="1" t="s">
        <v>25</v>
      </c>
      <c r="F153" s="1">
        <v>57294</v>
      </c>
      <c r="G153" s="14">
        <v>3</v>
      </c>
      <c r="H153" s="1">
        <v>1</v>
      </c>
      <c r="I153" s="1">
        <v>3</v>
      </c>
      <c r="J153" s="1" t="s">
        <v>20</v>
      </c>
      <c r="K153" s="1">
        <v>3</v>
      </c>
      <c r="L153" s="1" t="s">
        <v>20</v>
      </c>
      <c r="M153" s="1" t="s">
        <v>26</v>
      </c>
      <c r="N153" s="1">
        <v>44</v>
      </c>
      <c r="O153" s="3" t="s">
        <v>22</v>
      </c>
    </row>
    <row r="154" spans="1:15" x14ac:dyDescent="0.25">
      <c r="A154" s="2" t="s">
        <v>191</v>
      </c>
      <c r="B154" s="1">
        <v>51</v>
      </c>
      <c r="C154" s="1" t="s">
        <v>28</v>
      </c>
      <c r="D154" s="1" t="s">
        <v>17</v>
      </c>
      <c r="E154" s="1" t="s">
        <v>25</v>
      </c>
      <c r="F154" s="1">
        <v>93711</v>
      </c>
      <c r="G154" s="14">
        <v>2</v>
      </c>
      <c r="H154" s="1">
        <v>1</v>
      </c>
      <c r="I154" s="1">
        <v>5</v>
      </c>
      <c r="J154" s="1" t="s">
        <v>20</v>
      </c>
      <c r="K154" s="1">
        <v>5</v>
      </c>
      <c r="L154" s="1" t="s">
        <v>20</v>
      </c>
      <c r="M154" s="1" t="s">
        <v>21</v>
      </c>
      <c r="N154" s="1">
        <v>36</v>
      </c>
      <c r="O154" s="3" t="s">
        <v>22</v>
      </c>
    </row>
    <row r="155" spans="1:15" x14ac:dyDescent="0.25">
      <c r="A155" s="2" t="s">
        <v>192</v>
      </c>
      <c r="B155" s="1">
        <v>57</v>
      </c>
      <c r="C155" s="1" t="s">
        <v>16</v>
      </c>
      <c r="D155" s="1" t="s">
        <v>51</v>
      </c>
      <c r="E155" s="1" t="s">
        <v>35</v>
      </c>
      <c r="F155" s="1">
        <v>75807</v>
      </c>
      <c r="G155" s="14">
        <v>3</v>
      </c>
      <c r="H155" s="1">
        <v>4</v>
      </c>
      <c r="I155" s="1">
        <v>2</v>
      </c>
      <c r="J155" s="1" t="s">
        <v>20</v>
      </c>
      <c r="K155" s="1">
        <v>6</v>
      </c>
      <c r="L155" s="1" t="s">
        <v>20</v>
      </c>
      <c r="M155" s="1" t="s">
        <v>26</v>
      </c>
      <c r="N155" s="1">
        <v>65</v>
      </c>
      <c r="O155" s="3" t="s">
        <v>22</v>
      </c>
    </row>
    <row r="156" spans="1:15" x14ac:dyDescent="0.25">
      <c r="A156" s="2" t="s">
        <v>193</v>
      </c>
      <c r="B156" s="1">
        <v>29</v>
      </c>
      <c r="C156" s="1" t="s">
        <v>16</v>
      </c>
      <c r="D156" s="1" t="s">
        <v>24</v>
      </c>
      <c r="E156" s="1" t="s">
        <v>18</v>
      </c>
      <c r="F156" s="1">
        <v>104799</v>
      </c>
      <c r="G156" s="14">
        <v>4</v>
      </c>
      <c r="H156" s="1">
        <v>5</v>
      </c>
      <c r="I156" s="1">
        <v>4</v>
      </c>
      <c r="J156" s="1" t="s">
        <v>20</v>
      </c>
      <c r="K156" s="1">
        <v>5</v>
      </c>
      <c r="L156" s="1" t="s">
        <v>20</v>
      </c>
      <c r="M156" s="1" t="s">
        <v>26</v>
      </c>
      <c r="N156" s="1">
        <v>48</v>
      </c>
      <c r="O156" s="3" t="s">
        <v>31</v>
      </c>
    </row>
    <row r="157" spans="1:15" x14ac:dyDescent="0.25">
      <c r="A157" s="2" t="s">
        <v>194</v>
      </c>
      <c r="B157" s="1">
        <v>43</v>
      </c>
      <c r="C157" s="1" t="s">
        <v>28</v>
      </c>
      <c r="D157" s="1" t="s">
        <v>24</v>
      </c>
      <c r="E157" s="1" t="s">
        <v>33</v>
      </c>
      <c r="F157" s="1">
        <v>43200</v>
      </c>
      <c r="G157" s="14">
        <v>2</v>
      </c>
      <c r="H157" s="1">
        <v>3</v>
      </c>
      <c r="I157" s="1">
        <v>5</v>
      </c>
      <c r="J157" s="1" t="s">
        <v>20</v>
      </c>
      <c r="K157" s="1">
        <v>7</v>
      </c>
      <c r="L157" s="1" t="s">
        <v>20</v>
      </c>
      <c r="M157" s="1" t="s">
        <v>30</v>
      </c>
      <c r="N157" s="1">
        <v>31</v>
      </c>
      <c r="O157" s="3" t="s">
        <v>42</v>
      </c>
    </row>
    <row r="158" spans="1:15" x14ac:dyDescent="0.25">
      <c r="A158" s="2" t="s">
        <v>195</v>
      </c>
      <c r="B158" s="1">
        <v>41</v>
      </c>
      <c r="C158" s="1" t="s">
        <v>28</v>
      </c>
      <c r="D158" s="1" t="s">
        <v>29</v>
      </c>
      <c r="E158" s="1" t="s">
        <v>25</v>
      </c>
      <c r="F158" s="1">
        <v>112589</v>
      </c>
      <c r="G158" s="14">
        <v>3</v>
      </c>
      <c r="H158" s="1">
        <v>3</v>
      </c>
      <c r="I158" s="1">
        <v>1</v>
      </c>
      <c r="J158" s="1" t="s">
        <v>20</v>
      </c>
      <c r="K158" s="1">
        <v>12</v>
      </c>
      <c r="L158" s="1" t="s">
        <v>20</v>
      </c>
      <c r="M158" s="1" t="s">
        <v>21</v>
      </c>
      <c r="N158" s="1">
        <v>42</v>
      </c>
      <c r="O158" s="3" t="s">
        <v>22</v>
      </c>
    </row>
    <row r="159" spans="1:15" x14ac:dyDescent="0.25">
      <c r="A159" s="2" t="s">
        <v>196</v>
      </c>
      <c r="B159" s="1">
        <v>39</v>
      </c>
      <c r="C159" s="1" t="s">
        <v>16</v>
      </c>
      <c r="D159" s="1" t="s">
        <v>29</v>
      </c>
      <c r="E159" s="1" t="s">
        <v>33</v>
      </c>
      <c r="F159" s="1">
        <v>103979</v>
      </c>
      <c r="G159" s="14">
        <v>3</v>
      </c>
      <c r="H159" s="1">
        <v>4</v>
      </c>
      <c r="I159" s="1">
        <v>2</v>
      </c>
      <c r="J159" s="1" t="s">
        <v>19</v>
      </c>
      <c r="K159" s="1">
        <v>17</v>
      </c>
      <c r="L159" s="1" t="s">
        <v>20</v>
      </c>
      <c r="M159" s="1" t="s">
        <v>26</v>
      </c>
      <c r="N159" s="1">
        <v>39</v>
      </c>
      <c r="O159" s="3" t="s">
        <v>44</v>
      </c>
    </row>
    <row r="160" spans="1:15" x14ac:dyDescent="0.25">
      <c r="A160" s="2" t="s">
        <v>197</v>
      </c>
      <c r="B160" s="1">
        <v>27</v>
      </c>
      <c r="C160" s="1" t="s">
        <v>16</v>
      </c>
      <c r="D160" s="1" t="s">
        <v>51</v>
      </c>
      <c r="E160" s="1" t="s">
        <v>35</v>
      </c>
      <c r="F160" s="1">
        <v>105796</v>
      </c>
      <c r="G160" s="14">
        <v>5</v>
      </c>
      <c r="H160" s="1">
        <v>2</v>
      </c>
      <c r="I160" s="1">
        <v>2</v>
      </c>
      <c r="J160" s="1" t="s">
        <v>19</v>
      </c>
      <c r="K160" s="1">
        <v>3</v>
      </c>
      <c r="L160" s="1" t="s">
        <v>20</v>
      </c>
      <c r="M160" s="1" t="s">
        <v>30</v>
      </c>
      <c r="N160" s="1">
        <v>65</v>
      </c>
      <c r="O160" s="3" t="s">
        <v>22</v>
      </c>
    </row>
    <row r="161" spans="1:15" x14ac:dyDescent="0.25">
      <c r="A161" s="2" t="s">
        <v>198</v>
      </c>
      <c r="B161" s="1">
        <v>29</v>
      </c>
      <c r="C161" s="1" t="s">
        <v>16</v>
      </c>
      <c r="D161" s="1" t="s">
        <v>24</v>
      </c>
      <c r="E161" s="1" t="s">
        <v>41</v>
      </c>
      <c r="F161" s="1">
        <v>71334</v>
      </c>
      <c r="G161" s="14">
        <v>4</v>
      </c>
      <c r="H161" s="1">
        <v>4</v>
      </c>
      <c r="I161" s="1">
        <v>2</v>
      </c>
      <c r="J161" s="1" t="s">
        <v>20</v>
      </c>
      <c r="K161" s="1">
        <v>10</v>
      </c>
      <c r="L161" s="1" t="s">
        <v>20</v>
      </c>
      <c r="M161" s="1" t="s">
        <v>26</v>
      </c>
      <c r="N161" s="1">
        <v>12</v>
      </c>
      <c r="O161" s="3" t="s">
        <v>22</v>
      </c>
    </row>
    <row r="162" spans="1:15" x14ac:dyDescent="0.25">
      <c r="A162" s="2" t="s">
        <v>199</v>
      </c>
      <c r="B162" s="1">
        <v>57</v>
      </c>
      <c r="C162" s="1" t="s">
        <v>16</v>
      </c>
      <c r="D162" s="1" t="s">
        <v>24</v>
      </c>
      <c r="E162" s="1" t="s">
        <v>38</v>
      </c>
      <c r="F162" s="1">
        <v>112780</v>
      </c>
      <c r="G162" s="14">
        <v>1</v>
      </c>
      <c r="H162" s="1">
        <v>2</v>
      </c>
      <c r="I162" s="1">
        <v>4</v>
      </c>
      <c r="J162" s="1" t="s">
        <v>19</v>
      </c>
      <c r="K162" s="1">
        <v>1</v>
      </c>
      <c r="L162" s="1" t="s">
        <v>20</v>
      </c>
      <c r="M162" s="1" t="s">
        <v>30</v>
      </c>
      <c r="N162" s="1">
        <v>28</v>
      </c>
      <c r="O162" s="3" t="s">
        <v>36</v>
      </c>
    </row>
    <row r="163" spans="1:15" x14ac:dyDescent="0.25">
      <c r="A163" s="2" t="s">
        <v>200</v>
      </c>
      <c r="B163" s="1">
        <v>23</v>
      </c>
      <c r="C163" s="1" t="s">
        <v>16</v>
      </c>
      <c r="D163" s="1" t="s">
        <v>29</v>
      </c>
      <c r="E163" s="1" t="s">
        <v>25</v>
      </c>
      <c r="F163" s="1">
        <v>97007</v>
      </c>
      <c r="G163" s="14">
        <v>1</v>
      </c>
      <c r="H163" s="1">
        <v>3</v>
      </c>
      <c r="I163" s="1">
        <v>3</v>
      </c>
      <c r="J163" s="1" t="s">
        <v>20</v>
      </c>
      <c r="K163" s="1">
        <v>20</v>
      </c>
      <c r="L163" s="1" t="s">
        <v>20</v>
      </c>
      <c r="M163" s="1" t="s">
        <v>21</v>
      </c>
      <c r="N163" s="1">
        <v>69</v>
      </c>
      <c r="O163" s="3" t="s">
        <v>42</v>
      </c>
    </row>
    <row r="164" spans="1:15" x14ac:dyDescent="0.25">
      <c r="A164" s="2" t="s">
        <v>201</v>
      </c>
      <c r="B164" s="1">
        <v>38</v>
      </c>
      <c r="C164" s="1" t="s">
        <v>16</v>
      </c>
      <c r="D164" s="1" t="s">
        <v>40</v>
      </c>
      <c r="E164" s="1" t="s">
        <v>18</v>
      </c>
      <c r="F164" s="1">
        <v>39298</v>
      </c>
      <c r="G164" s="14">
        <v>4</v>
      </c>
      <c r="H164" s="1">
        <v>3</v>
      </c>
      <c r="I164" s="1">
        <v>2</v>
      </c>
      <c r="J164" s="1" t="s">
        <v>19</v>
      </c>
      <c r="K164" s="1">
        <v>10</v>
      </c>
      <c r="L164" s="1" t="s">
        <v>20</v>
      </c>
      <c r="M164" s="1" t="s">
        <v>26</v>
      </c>
      <c r="N164" s="1">
        <v>29</v>
      </c>
      <c r="O164" s="3" t="s">
        <v>44</v>
      </c>
    </row>
    <row r="165" spans="1:15" x14ac:dyDescent="0.25">
      <c r="A165" s="2" t="s">
        <v>202</v>
      </c>
      <c r="B165" s="1">
        <v>46</v>
      </c>
      <c r="C165" s="1" t="s">
        <v>28</v>
      </c>
      <c r="D165" s="1" t="s">
        <v>24</v>
      </c>
      <c r="E165" s="1" t="s">
        <v>18</v>
      </c>
      <c r="F165" s="1">
        <v>29368</v>
      </c>
      <c r="G165" s="14">
        <v>4</v>
      </c>
      <c r="H165" s="1">
        <v>1</v>
      </c>
      <c r="I165" s="1">
        <v>2</v>
      </c>
      <c r="J165" s="1" t="s">
        <v>19</v>
      </c>
      <c r="K165" s="1">
        <v>15</v>
      </c>
      <c r="L165" s="1" t="s">
        <v>20</v>
      </c>
      <c r="M165" s="1" t="s">
        <v>21</v>
      </c>
      <c r="N165" s="1">
        <v>5</v>
      </c>
      <c r="O165" s="3" t="s">
        <v>36</v>
      </c>
    </row>
    <row r="166" spans="1:15" x14ac:dyDescent="0.25">
      <c r="A166" s="2" t="s">
        <v>203</v>
      </c>
      <c r="B166" s="1">
        <v>45</v>
      </c>
      <c r="C166" s="1" t="s">
        <v>16</v>
      </c>
      <c r="D166" s="1" t="s">
        <v>49</v>
      </c>
      <c r="E166" s="1" t="s">
        <v>18</v>
      </c>
      <c r="F166" s="1">
        <v>61204</v>
      </c>
      <c r="G166" s="14">
        <v>3</v>
      </c>
      <c r="H166" s="1">
        <v>5</v>
      </c>
      <c r="I166" s="1">
        <v>5</v>
      </c>
      <c r="J166" s="1" t="s">
        <v>19</v>
      </c>
      <c r="K166" s="1">
        <v>8</v>
      </c>
      <c r="L166" s="1" t="s">
        <v>20</v>
      </c>
      <c r="M166" s="1" t="s">
        <v>26</v>
      </c>
      <c r="N166" s="1">
        <v>35</v>
      </c>
      <c r="O166" s="3" t="s">
        <v>22</v>
      </c>
    </row>
    <row r="167" spans="1:15" x14ac:dyDescent="0.25">
      <c r="A167" s="2" t="s">
        <v>204</v>
      </c>
      <c r="B167" s="1">
        <v>28</v>
      </c>
      <c r="C167" s="1" t="s">
        <v>28</v>
      </c>
      <c r="D167" s="1" t="s">
        <v>29</v>
      </c>
      <c r="E167" s="1" t="s">
        <v>41</v>
      </c>
      <c r="F167" s="1">
        <v>71138</v>
      </c>
      <c r="G167" s="14">
        <v>5</v>
      </c>
      <c r="H167" s="1">
        <v>3</v>
      </c>
      <c r="I167" s="1">
        <v>1</v>
      </c>
      <c r="J167" s="1" t="s">
        <v>20</v>
      </c>
      <c r="K167" s="1">
        <v>11</v>
      </c>
      <c r="L167" s="1" t="s">
        <v>19</v>
      </c>
      <c r="M167" s="1" t="s">
        <v>21</v>
      </c>
      <c r="N167" s="1">
        <v>22</v>
      </c>
      <c r="O167" s="3" t="s">
        <v>42</v>
      </c>
    </row>
    <row r="168" spans="1:15" x14ac:dyDescent="0.25">
      <c r="A168" s="2" t="s">
        <v>205</v>
      </c>
      <c r="B168" s="1">
        <v>30</v>
      </c>
      <c r="C168" s="1" t="s">
        <v>28</v>
      </c>
      <c r="D168" s="1" t="s">
        <v>17</v>
      </c>
      <c r="E168" s="1" t="s">
        <v>25</v>
      </c>
      <c r="F168" s="1">
        <v>66971</v>
      </c>
      <c r="G168" s="14">
        <v>4</v>
      </c>
      <c r="H168" s="1">
        <v>5</v>
      </c>
      <c r="I168" s="1">
        <v>4</v>
      </c>
      <c r="J168" s="1" t="s">
        <v>19</v>
      </c>
      <c r="K168" s="1">
        <v>7</v>
      </c>
      <c r="L168" s="1" t="s">
        <v>19</v>
      </c>
      <c r="M168" s="1" t="s">
        <v>26</v>
      </c>
      <c r="N168" s="1">
        <v>62</v>
      </c>
      <c r="O168" s="3" t="s">
        <v>31</v>
      </c>
    </row>
    <row r="169" spans="1:15" x14ac:dyDescent="0.25">
      <c r="A169" s="2" t="s">
        <v>206</v>
      </c>
      <c r="B169" s="1">
        <v>44</v>
      </c>
      <c r="C169" s="1" t="s">
        <v>16</v>
      </c>
      <c r="D169" s="1" t="s">
        <v>24</v>
      </c>
      <c r="E169" s="1" t="s">
        <v>35</v>
      </c>
      <c r="F169" s="1">
        <v>26094</v>
      </c>
      <c r="G169" s="14">
        <v>5</v>
      </c>
      <c r="H169" s="1">
        <v>5</v>
      </c>
      <c r="I169" s="1">
        <v>3</v>
      </c>
      <c r="J169" s="1" t="s">
        <v>19</v>
      </c>
      <c r="K169" s="1">
        <v>5</v>
      </c>
      <c r="L169" s="1" t="s">
        <v>20</v>
      </c>
      <c r="M169" s="1" t="s">
        <v>26</v>
      </c>
      <c r="N169" s="1">
        <v>61</v>
      </c>
      <c r="O169" s="3" t="s">
        <v>22</v>
      </c>
    </row>
    <row r="170" spans="1:15" x14ac:dyDescent="0.25">
      <c r="A170" s="2" t="s">
        <v>207</v>
      </c>
      <c r="B170" s="1">
        <v>34</v>
      </c>
      <c r="C170" s="1" t="s">
        <v>28</v>
      </c>
      <c r="D170" s="1" t="s">
        <v>40</v>
      </c>
      <c r="E170" s="1" t="s">
        <v>25</v>
      </c>
      <c r="F170" s="1">
        <v>76390</v>
      </c>
      <c r="G170" s="14">
        <v>1</v>
      </c>
      <c r="H170" s="1">
        <v>4</v>
      </c>
      <c r="I170" s="1">
        <v>2</v>
      </c>
      <c r="J170" s="1" t="s">
        <v>20</v>
      </c>
      <c r="K170" s="1">
        <v>14</v>
      </c>
      <c r="L170" s="1" t="s">
        <v>19</v>
      </c>
      <c r="M170" s="1" t="s">
        <v>26</v>
      </c>
      <c r="N170" s="1">
        <v>64</v>
      </c>
      <c r="O170" s="3" t="s">
        <v>36</v>
      </c>
    </row>
    <row r="171" spans="1:15" x14ac:dyDescent="0.25">
      <c r="A171" s="2" t="s">
        <v>208</v>
      </c>
      <c r="B171" s="1">
        <v>22</v>
      </c>
      <c r="C171" s="1" t="s">
        <v>28</v>
      </c>
      <c r="D171" s="1" t="s">
        <v>29</v>
      </c>
      <c r="E171" s="1" t="s">
        <v>35</v>
      </c>
      <c r="F171" s="1">
        <v>115754</v>
      </c>
      <c r="G171" s="14">
        <v>2</v>
      </c>
      <c r="H171" s="1">
        <v>5</v>
      </c>
      <c r="I171" s="1">
        <v>1</v>
      </c>
      <c r="J171" s="1" t="s">
        <v>19</v>
      </c>
      <c r="K171" s="1">
        <v>13</v>
      </c>
      <c r="L171" s="1" t="s">
        <v>20</v>
      </c>
      <c r="M171" s="1" t="s">
        <v>26</v>
      </c>
      <c r="N171" s="1">
        <v>13</v>
      </c>
      <c r="O171" s="3" t="s">
        <v>31</v>
      </c>
    </row>
    <row r="172" spans="1:15" x14ac:dyDescent="0.25">
      <c r="A172" s="2" t="s">
        <v>209</v>
      </c>
      <c r="B172" s="1">
        <v>24</v>
      </c>
      <c r="C172" s="1" t="s">
        <v>16</v>
      </c>
      <c r="D172" s="1" t="s">
        <v>49</v>
      </c>
      <c r="E172" s="1" t="s">
        <v>35</v>
      </c>
      <c r="F172" s="1">
        <v>55629</v>
      </c>
      <c r="G172" s="14">
        <v>4</v>
      </c>
      <c r="H172" s="1">
        <v>2</v>
      </c>
      <c r="I172" s="1">
        <v>2</v>
      </c>
      <c r="J172" s="1" t="s">
        <v>20</v>
      </c>
      <c r="K172" s="1">
        <v>11</v>
      </c>
      <c r="L172" s="1" t="s">
        <v>20</v>
      </c>
      <c r="M172" s="1" t="s">
        <v>30</v>
      </c>
      <c r="N172" s="1">
        <v>53</v>
      </c>
      <c r="O172" s="3" t="s">
        <v>42</v>
      </c>
    </row>
    <row r="173" spans="1:15" x14ac:dyDescent="0.25">
      <c r="A173" s="2" t="s">
        <v>210</v>
      </c>
      <c r="B173" s="1">
        <v>26</v>
      </c>
      <c r="C173" s="1" t="s">
        <v>16</v>
      </c>
      <c r="D173" s="1" t="s">
        <v>17</v>
      </c>
      <c r="E173" s="1" t="s">
        <v>18</v>
      </c>
      <c r="F173" s="1">
        <v>68925</v>
      </c>
      <c r="G173" s="14">
        <v>2</v>
      </c>
      <c r="H173" s="1">
        <v>5</v>
      </c>
      <c r="I173" s="1">
        <v>4</v>
      </c>
      <c r="J173" s="1" t="s">
        <v>19</v>
      </c>
      <c r="K173" s="1">
        <v>7</v>
      </c>
      <c r="L173" s="1" t="s">
        <v>19</v>
      </c>
      <c r="M173" s="1" t="s">
        <v>21</v>
      </c>
      <c r="N173" s="1">
        <v>43</v>
      </c>
      <c r="O173" s="3" t="s">
        <v>42</v>
      </c>
    </row>
    <row r="174" spans="1:15" x14ac:dyDescent="0.25">
      <c r="A174" s="2" t="s">
        <v>211</v>
      </c>
      <c r="B174" s="1">
        <v>55</v>
      </c>
      <c r="C174" s="1" t="s">
        <v>28</v>
      </c>
      <c r="D174" s="1" t="s">
        <v>24</v>
      </c>
      <c r="E174" s="1" t="s">
        <v>33</v>
      </c>
      <c r="F174" s="1">
        <v>48102</v>
      </c>
      <c r="G174" s="14">
        <v>2</v>
      </c>
      <c r="H174" s="1">
        <v>4</v>
      </c>
      <c r="I174" s="1">
        <v>3</v>
      </c>
      <c r="J174" s="1" t="s">
        <v>19</v>
      </c>
      <c r="K174" s="1">
        <v>8</v>
      </c>
      <c r="L174" s="1" t="s">
        <v>19</v>
      </c>
      <c r="M174" s="1" t="s">
        <v>26</v>
      </c>
      <c r="N174" s="1">
        <v>19</v>
      </c>
      <c r="O174" s="3" t="s">
        <v>22</v>
      </c>
    </row>
    <row r="175" spans="1:15" x14ac:dyDescent="0.25">
      <c r="A175" s="2" t="s">
        <v>212</v>
      </c>
      <c r="B175" s="1">
        <v>47</v>
      </c>
      <c r="C175" s="1" t="s">
        <v>16</v>
      </c>
      <c r="D175" s="1" t="s">
        <v>51</v>
      </c>
      <c r="E175" s="1" t="s">
        <v>41</v>
      </c>
      <c r="F175" s="1">
        <v>26819</v>
      </c>
      <c r="G175" s="14">
        <v>1</v>
      </c>
      <c r="H175" s="1">
        <v>5</v>
      </c>
      <c r="I175" s="1">
        <v>1</v>
      </c>
      <c r="J175" s="1" t="s">
        <v>20</v>
      </c>
      <c r="K175" s="1">
        <v>19</v>
      </c>
      <c r="L175" s="1" t="s">
        <v>19</v>
      </c>
      <c r="M175" s="1" t="s">
        <v>21</v>
      </c>
      <c r="N175" s="1">
        <v>10</v>
      </c>
      <c r="O175" s="3" t="s">
        <v>42</v>
      </c>
    </row>
    <row r="176" spans="1:15" x14ac:dyDescent="0.25">
      <c r="A176" s="2" t="s">
        <v>213</v>
      </c>
      <c r="B176" s="1">
        <v>49</v>
      </c>
      <c r="C176" s="1" t="s">
        <v>16</v>
      </c>
      <c r="D176" s="1" t="s">
        <v>24</v>
      </c>
      <c r="E176" s="1" t="s">
        <v>41</v>
      </c>
      <c r="F176" s="1">
        <v>116878</v>
      </c>
      <c r="G176" s="14">
        <v>1</v>
      </c>
      <c r="H176" s="1">
        <v>2</v>
      </c>
      <c r="I176" s="1">
        <v>5</v>
      </c>
      <c r="J176" s="1" t="s">
        <v>20</v>
      </c>
      <c r="K176" s="1">
        <v>7</v>
      </c>
      <c r="L176" s="1" t="s">
        <v>20</v>
      </c>
      <c r="M176" s="1" t="s">
        <v>26</v>
      </c>
      <c r="N176" s="1">
        <v>46</v>
      </c>
      <c r="O176" s="3" t="s">
        <v>44</v>
      </c>
    </row>
    <row r="177" spans="1:15" x14ac:dyDescent="0.25">
      <c r="A177" s="2" t="s">
        <v>214</v>
      </c>
      <c r="B177" s="1">
        <v>40</v>
      </c>
      <c r="C177" s="1" t="s">
        <v>16</v>
      </c>
      <c r="D177" s="1" t="s">
        <v>17</v>
      </c>
      <c r="E177" s="1" t="s">
        <v>25</v>
      </c>
      <c r="F177" s="1">
        <v>46972</v>
      </c>
      <c r="G177" s="14">
        <v>3</v>
      </c>
      <c r="H177" s="1">
        <v>3</v>
      </c>
      <c r="I177" s="1">
        <v>3</v>
      </c>
      <c r="J177" s="1" t="s">
        <v>19</v>
      </c>
      <c r="K177" s="1">
        <v>17</v>
      </c>
      <c r="L177" s="1" t="s">
        <v>19</v>
      </c>
      <c r="M177" s="1" t="s">
        <v>26</v>
      </c>
      <c r="N177" s="1">
        <v>59</v>
      </c>
      <c r="O177" s="3" t="s">
        <v>31</v>
      </c>
    </row>
    <row r="178" spans="1:15" x14ac:dyDescent="0.25">
      <c r="A178" s="2" t="s">
        <v>215</v>
      </c>
      <c r="B178" s="1">
        <v>52</v>
      </c>
      <c r="C178" s="1" t="s">
        <v>16</v>
      </c>
      <c r="D178" s="1" t="s">
        <v>29</v>
      </c>
      <c r="E178" s="1" t="s">
        <v>38</v>
      </c>
      <c r="F178" s="1">
        <v>105994</v>
      </c>
      <c r="G178" s="14">
        <v>4</v>
      </c>
      <c r="H178" s="1">
        <v>5</v>
      </c>
      <c r="I178" s="1">
        <v>3</v>
      </c>
      <c r="J178" s="1" t="s">
        <v>20</v>
      </c>
      <c r="K178" s="1">
        <v>13</v>
      </c>
      <c r="L178" s="1" t="s">
        <v>19</v>
      </c>
      <c r="M178" s="1" t="s">
        <v>30</v>
      </c>
      <c r="N178" s="1">
        <v>53</v>
      </c>
      <c r="O178" s="3" t="s">
        <v>44</v>
      </c>
    </row>
    <row r="179" spans="1:15" x14ac:dyDescent="0.25">
      <c r="A179" s="2" t="s">
        <v>216</v>
      </c>
      <c r="B179" s="1">
        <v>55</v>
      </c>
      <c r="C179" s="1" t="s">
        <v>28</v>
      </c>
      <c r="D179" s="1" t="s">
        <v>51</v>
      </c>
      <c r="E179" s="1" t="s">
        <v>41</v>
      </c>
      <c r="F179" s="1">
        <v>57418</v>
      </c>
      <c r="G179" s="14">
        <v>2</v>
      </c>
      <c r="H179" s="1">
        <v>4</v>
      </c>
      <c r="I179" s="1">
        <v>1</v>
      </c>
      <c r="J179" s="1" t="s">
        <v>20</v>
      </c>
      <c r="K179" s="1">
        <v>13</v>
      </c>
      <c r="L179" s="1" t="s">
        <v>19</v>
      </c>
      <c r="M179" s="1" t="s">
        <v>30</v>
      </c>
      <c r="N179" s="1">
        <v>36</v>
      </c>
      <c r="O179" s="3" t="s">
        <v>36</v>
      </c>
    </row>
    <row r="180" spans="1:15" x14ac:dyDescent="0.25">
      <c r="A180" s="2" t="s">
        <v>217</v>
      </c>
      <c r="B180" s="1">
        <v>34</v>
      </c>
      <c r="C180" s="1" t="s">
        <v>28</v>
      </c>
      <c r="D180" s="1" t="s">
        <v>17</v>
      </c>
      <c r="E180" s="1" t="s">
        <v>35</v>
      </c>
      <c r="F180" s="1">
        <v>76954</v>
      </c>
      <c r="G180" s="14">
        <v>3</v>
      </c>
      <c r="H180" s="1">
        <v>1</v>
      </c>
      <c r="I180" s="1">
        <v>5</v>
      </c>
      <c r="J180" s="1" t="s">
        <v>19</v>
      </c>
      <c r="K180" s="1">
        <v>1</v>
      </c>
      <c r="L180" s="1" t="s">
        <v>20</v>
      </c>
      <c r="M180" s="1" t="s">
        <v>30</v>
      </c>
      <c r="N180" s="1">
        <v>10</v>
      </c>
      <c r="O180" s="3" t="s">
        <v>22</v>
      </c>
    </row>
    <row r="181" spans="1:15" x14ac:dyDescent="0.25">
      <c r="A181" s="2" t="s">
        <v>218</v>
      </c>
      <c r="B181" s="1">
        <v>33</v>
      </c>
      <c r="C181" s="1" t="s">
        <v>16</v>
      </c>
      <c r="D181" s="1" t="s">
        <v>49</v>
      </c>
      <c r="E181" s="1" t="s">
        <v>41</v>
      </c>
      <c r="F181" s="1">
        <v>61642</v>
      </c>
      <c r="G181" s="14">
        <v>3</v>
      </c>
      <c r="H181" s="1">
        <v>1</v>
      </c>
      <c r="I181" s="1">
        <v>2</v>
      </c>
      <c r="J181" s="1" t="s">
        <v>19</v>
      </c>
      <c r="K181" s="1">
        <v>3</v>
      </c>
      <c r="L181" s="1" t="s">
        <v>20</v>
      </c>
      <c r="M181" s="1" t="s">
        <v>21</v>
      </c>
      <c r="N181" s="1">
        <v>31</v>
      </c>
      <c r="O181" s="3" t="s">
        <v>42</v>
      </c>
    </row>
    <row r="182" spans="1:15" x14ac:dyDescent="0.25">
      <c r="A182" s="2" t="s">
        <v>219</v>
      </c>
      <c r="B182" s="1">
        <v>36</v>
      </c>
      <c r="C182" s="1" t="s">
        <v>28</v>
      </c>
      <c r="D182" s="1" t="s">
        <v>29</v>
      </c>
      <c r="E182" s="1" t="s">
        <v>33</v>
      </c>
      <c r="F182" s="1">
        <v>79112</v>
      </c>
      <c r="G182" s="14">
        <v>5</v>
      </c>
      <c r="H182" s="1">
        <v>3</v>
      </c>
      <c r="I182" s="1">
        <v>3</v>
      </c>
      <c r="J182" s="1" t="s">
        <v>20</v>
      </c>
      <c r="K182" s="1">
        <v>11</v>
      </c>
      <c r="L182" s="1" t="s">
        <v>20</v>
      </c>
      <c r="M182" s="1" t="s">
        <v>30</v>
      </c>
      <c r="N182" s="1">
        <v>17</v>
      </c>
      <c r="O182" s="3" t="s">
        <v>42</v>
      </c>
    </row>
    <row r="183" spans="1:15" x14ac:dyDescent="0.25">
      <c r="A183" s="2" t="s">
        <v>220</v>
      </c>
      <c r="B183" s="1">
        <v>41</v>
      </c>
      <c r="C183" s="1" t="s">
        <v>16</v>
      </c>
      <c r="D183" s="1" t="s">
        <v>29</v>
      </c>
      <c r="E183" s="1" t="s">
        <v>18</v>
      </c>
      <c r="F183" s="1">
        <v>72254</v>
      </c>
      <c r="G183" s="14">
        <v>1</v>
      </c>
      <c r="H183" s="1">
        <v>5</v>
      </c>
      <c r="I183" s="1">
        <v>2</v>
      </c>
      <c r="J183" s="1" t="s">
        <v>19</v>
      </c>
      <c r="K183" s="1">
        <v>0</v>
      </c>
      <c r="L183" s="1" t="s">
        <v>20</v>
      </c>
      <c r="M183" s="1" t="s">
        <v>26</v>
      </c>
      <c r="N183" s="1">
        <v>79</v>
      </c>
      <c r="O183" s="3" t="s">
        <v>31</v>
      </c>
    </row>
    <row r="184" spans="1:15" x14ac:dyDescent="0.25">
      <c r="A184" s="2" t="s">
        <v>221</v>
      </c>
      <c r="B184" s="1">
        <v>47</v>
      </c>
      <c r="C184" s="1" t="s">
        <v>28</v>
      </c>
      <c r="D184" s="1" t="s">
        <v>51</v>
      </c>
      <c r="E184" s="1" t="s">
        <v>41</v>
      </c>
      <c r="F184" s="1">
        <v>61236</v>
      </c>
      <c r="G184" s="14">
        <v>2</v>
      </c>
      <c r="H184" s="1">
        <v>4</v>
      </c>
      <c r="I184" s="1">
        <v>5</v>
      </c>
      <c r="J184" s="1" t="s">
        <v>19</v>
      </c>
      <c r="K184" s="1">
        <v>15</v>
      </c>
      <c r="L184" s="1" t="s">
        <v>20</v>
      </c>
      <c r="M184" s="1" t="s">
        <v>30</v>
      </c>
      <c r="N184" s="1">
        <v>67</v>
      </c>
      <c r="O184" s="3" t="s">
        <v>42</v>
      </c>
    </row>
    <row r="185" spans="1:15" x14ac:dyDescent="0.25">
      <c r="A185" s="2" t="s">
        <v>222</v>
      </c>
      <c r="B185" s="1">
        <v>50</v>
      </c>
      <c r="C185" s="1" t="s">
        <v>16</v>
      </c>
      <c r="D185" s="1" t="s">
        <v>17</v>
      </c>
      <c r="E185" s="1" t="s">
        <v>18</v>
      </c>
      <c r="F185" s="1">
        <v>68925</v>
      </c>
      <c r="G185" s="14">
        <v>2</v>
      </c>
      <c r="H185" s="1">
        <v>5</v>
      </c>
      <c r="I185" s="1">
        <v>4</v>
      </c>
      <c r="J185" s="1" t="s">
        <v>19</v>
      </c>
      <c r="K185" s="1">
        <v>17</v>
      </c>
      <c r="L185" s="1" t="s">
        <v>19</v>
      </c>
      <c r="M185" s="1" t="s">
        <v>26</v>
      </c>
      <c r="N185" s="1">
        <v>9</v>
      </c>
      <c r="O185" s="3" t="s">
        <v>22</v>
      </c>
    </row>
    <row r="186" spans="1:15" x14ac:dyDescent="0.25">
      <c r="A186" s="2" t="s">
        <v>223</v>
      </c>
      <c r="B186" s="1">
        <v>24</v>
      </c>
      <c r="C186" s="1" t="s">
        <v>16</v>
      </c>
      <c r="D186" s="1" t="s">
        <v>49</v>
      </c>
      <c r="E186" s="1" t="s">
        <v>41</v>
      </c>
      <c r="F186" s="1">
        <v>100667</v>
      </c>
      <c r="G186" s="14">
        <v>2</v>
      </c>
      <c r="H186" s="1">
        <v>1</v>
      </c>
      <c r="I186" s="1">
        <v>2</v>
      </c>
      <c r="J186" s="1" t="s">
        <v>19</v>
      </c>
      <c r="K186" s="1">
        <v>6</v>
      </c>
      <c r="L186" s="1" t="s">
        <v>20</v>
      </c>
      <c r="M186" s="1" t="s">
        <v>30</v>
      </c>
      <c r="N186" s="1">
        <v>12</v>
      </c>
      <c r="O186" s="3" t="s">
        <v>31</v>
      </c>
    </row>
    <row r="187" spans="1:15" x14ac:dyDescent="0.25">
      <c r="A187" s="2" t="s">
        <v>224</v>
      </c>
      <c r="B187" s="1">
        <v>51</v>
      </c>
      <c r="C187" s="1" t="s">
        <v>28</v>
      </c>
      <c r="D187" s="1" t="s">
        <v>40</v>
      </c>
      <c r="E187" s="1" t="s">
        <v>35</v>
      </c>
      <c r="F187" s="1">
        <v>87758</v>
      </c>
      <c r="G187" s="14">
        <v>5</v>
      </c>
      <c r="H187" s="1">
        <v>4</v>
      </c>
      <c r="I187" s="1">
        <v>1</v>
      </c>
      <c r="J187" s="1" t="s">
        <v>19</v>
      </c>
      <c r="K187" s="1">
        <v>16</v>
      </c>
      <c r="L187" s="1" t="s">
        <v>20</v>
      </c>
      <c r="M187" s="1" t="s">
        <v>26</v>
      </c>
      <c r="N187" s="1">
        <v>41</v>
      </c>
      <c r="O187" s="3" t="s">
        <v>22</v>
      </c>
    </row>
    <row r="188" spans="1:15" x14ac:dyDescent="0.25">
      <c r="A188" s="2" t="s">
        <v>225</v>
      </c>
      <c r="B188" s="1">
        <v>53</v>
      </c>
      <c r="C188" s="1" t="s">
        <v>28</v>
      </c>
      <c r="D188" s="1" t="s">
        <v>51</v>
      </c>
      <c r="E188" s="1" t="s">
        <v>35</v>
      </c>
      <c r="F188" s="1">
        <v>30624</v>
      </c>
      <c r="G188" s="14">
        <v>5</v>
      </c>
      <c r="H188" s="1">
        <v>2</v>
      </c>
      <c r="I188" s="1">
        <v>2</v>
      </c>
      <c r="J188" s="1" t="s">
        <v>19</v>
      </c>
      <c r="K188" s="1">
        <v>19</v>
      </c>
      <c r="L188" s="1" t="s">
        <v>20</v>
      </c>
      <c r="M188" s="1" t="s">
        <v>30</v>
      </c>
      <c r="N188" s="1">
        <v>39</v>
      </c>
      <c r="O188" s="3" t="s">
        <v>42</v>
      </c>
    </row>
    <row r="189" spans="1:15" x14ac:dyDescent="0.25">
      <c r="A189" s="2" t="s">
        <v>226</v>
      </c>
      <c r="B189" s="1">
        <v>26</v>
      </c>
      <c r="C189" s="1" t="s">
        <v>28</v>
      </c>
      <c r="D189" s="1" t="s">
        <v>49</v>
      </c>
      <c r="E189" s="1" t="s">
        <v>33</v>
      </c>
      <c r="F189" s="1">
        <v>92055</v>
      </c>
      <c r="G189" s="14">
        <v>2</v>
      </c>
      <c r="H189" s="1">
        <v>2</v>
      </c>
      <c r="I189" s="1">
        <v>3</v>
      </c>
      <c r="J189" s="1" t="s">
        <v>19</v>
      </c>
      <c r="K189" s="1">
        <v>20</v>
      </c>
      <c r="L189" s="1" t="s">
        <v>19</v>
      </c>
      <c r="M189" s="1" t="s">
        <v>21</v>
      </c>
      <c r="N189" s="1">
        <v>56</v>
      </c>
      <c r="O189" s="3" t="s">
        <v>42</v>
      </c>
    </row>
    <row r="190" spans="1:15" x14ac:dyDescent="0.25">
      <c r="A190" s="2" t="s">
        <v>227</v>
      </c>
      <c r="B190" s="1">
        <v>45</v>
      </c>
      <c r="C190" s="1" t="s">
        <v>28</v>
      </c>
      <c r="D190" s="1" t="s">
        <v>40</v>
      </c>
      <c r="E190" s="1" t="s">
        <v>38</v>
      </c>
      <c r="F190" s="1">
        <v>19238</v>
      </c>
      <c r="G190" s="14">
        <v>2</v>
      </c>
      <c r="H190" s="1">
        <v>1</v>
      </c>
      <c r="I190" s="1">
        <v>4</v>
      </c>
      <c r="J190" s="1" t="s">
        <v>20</v>
      </c>
      <c r="K190" s="1">
        <v>20</v>
      </c>
      <c r="L190" s="1" t="s">
        <v>20</v>
      </c>
      <c r="M190" s="1" t="s">
        <v>26</v>
      </c>
      <c r="N190" s="1">
        <v>17</v>
      </c>
      <c r="O190" s="3" t="s">
        <v>31</v>
      </c>
    </row>
    <row r="191" spans="1:15" x14ac:dyDescent="0.25">
      <c r="A191" s="2" t="s">
        <v>228</v>
      </c>
      <c r="B191" s="1">
        <v>23</v>
      </c>
      <c r="C191" s="1" t="s">
        <v>16</v>
      </c>
      <c r="D191" s="1" t="s">
        <v>51</v>
      </c>
      <c r="E191" s="1" t="s">
        <v>38</v>
      </c>
      <c r="F191" s="1">
        <v>92289</v>
      </c>
      <c r="G191" s="14">
        <v>4</v>
      </c>
      <c r="H191" s="1">
        <v>3</v>
      </c>
      <c r="I191" s="1">
        <v>1</v>
      </c>
      <c r="J191" s="1" t="s">
        <v>19</v>
      </c>
      <c r="K191" s="1">
        <v>8</v>
      </c>
      <c r="L191" s="1" t="s">
        <v>19</v>
      </c>
      <c r="M191" s="1" t="s">
        <v>21</v>
      </c>
      <c r="N191" s="1">
        <v>45</v>
      </c>
      <c r="O191" s="3" t="s">
        <v>22</v>
      </c>
    </row>
    <row r="192" spans="1:15" x14ac:dyDescent="0.25">
      <c r="A192" s="2" t="s">
        <v>229</v>
      </c>
      <c r="B192" s="1">
        <v>34</v>
      </c>
      <c r="C192" s="1" t="s">
        <v>16</v>
      </c>
      <c r="D192" s="1" t="s">
        <v>17</v>
      </c>
      <c r="E192" s="1" t="s">
        <v>33</v>
      </c>
      <c r="F192" s="1">
        <v>28084</v>
      </c>
      <c r="G192" s="14">
        <v>3</v>
      </c>
      <c r="H192" s="1">
        <v>2</v>
      </c>
      <c r="I192" s="1">
        <v>5</v>
      </c>
      <c r="J192" s="1" t="s">
        <v>19</v>
      </c>
      <c r="K192" s="1">
        <v>18</v>
      </c>
      <c r="L192" s="1" t="s">
        <v>20</v>
      </c>
      <c r="M192" s="1" t="s">
        <v>26</v>
      </c>
      <c r="N192" s="1">
        <v>74</v>
      </c>
      <c r="O192" s="3" t="s">
        <v>36</v>
      </c>
    </row>
    <row r="193" spans="1:15" x14ac:dyDescent="0.25">
      <c r="A193" s="2" t="s">
        <v>230</v>
      </c>
      <c r="B193" s="1">
        <v>45</v>
      </c>
      <c r="C193" s="1" t="s">
        <v>16</v>
      </c>
      <c r="D193" s="1" t="s">
        <v>17</v>
      </c>
      <c r="E193" s="1" t="s">
        <v>38</v>
      </c>
      <c r="F193" s="1">
        <v>68925</v>
      </c>
      <c r="G193" s="14">
        <v>5</v>
      </c>
      <c r="H193" s="1">
        <v>3</v>
      </c>
      <c r="I193" s="1">
        <v>1</v>
      </c>
      <c r="J193" s="1" t="s">
        <v>19</v>
      </c>
      <c r="K193" s="1">
        <v>13</v>
      </c>
      <c r="L193" s="1" t="s">
        <v>19</v>
      </c>
      <c r="M193" s="1" t="s">
        <v>21</v>
      </c>
      <c r="N193" s="1">
        <v>48</v>
      </c>
      <c r="O193" s="3" t="s">
        <v>31</v>
      </c>
    </row>
    <row r="194" spans="1:15" x14ac:dyDescent="0.25">
      <c r="A194" s="2" t="s">
        <v>231</v>
      </c>
      <c r="B194" s="1">
        <v>46</v>
      </c>
      <c r="C194" s="1" t="s">
        <v>28</v>
      </c>
      <c r="D194" s="1" t="s">
        <v>40</v>
      </c>
      <c r="E194" s="1" t="s">
        <v>38</v>
      </c>
      <c r="F194" s="1">
        <v>53825</v>
      </c>
      <c r="G194" s="14">
        <v>4</v>
      </c>
      <c r="H194" s="1">
        <v>4</v>
      </c>
      <c r="I194" s="1">
        <v>2</v>
      </c>
      <c r="J194" s="1" t="s">
        <v>20</v>
      </c>
      <c r="K194" s="1">
        <v>17</v>
      </c>
      <c r="L194" s="1" t="s">
        <v>20</v>
      </c>
      <c r="M194" s="1" t="s">
        <v>30</v>
      </c>
      <c r="N194" s="1">
        <v>28</v>
      </c>
      <c r="O194" s="3" t="s">
        <v>31</v>
      </c>
    </row>
    <row r="195" spans="1:15" x14ac:dyDescent="0.25">
      <c r="A195" s="2" t="s">
        <v>232</v>
      </c>
      <c r="B195" s="1">
        <v>45</v>
      </c>
      <c r="C195" s="1" t="s">
        <v>16</v>
      </c>
      <c r="D195" s="1" t="s">
        <v>24</v>
      </c>
      <c r="E195" s="1" t="s">
        <v>18</v>
      </c>
      <c r="F195" s="1">
        <v>50302</v>
      </c>
      <c r="G195" s="14">
        <v>1</v>
      </c>
      <c r="H195" s="1">
        <v>1</v>
      </c>
      <c r="I195" s="1">
        <v>3</v>
      </c>
      <c r="J195" s="1" t="s">
        <v>19</v>
      </c>
      <c r="K195" s="1">
        <v>12</v>
      </c>
      <c r="L195" s="1" t="s">
        <v>19</v>
      </c>
      <c r="M195" s="1" t="s">
        <v>26</v>
      </c>
      <c r="N195" s="1">
        <v>54</v>
      </c>
      <c r="O195" s="3" t="s">
        <v>36</v>
      </c>
    </row>
    <row r="196" spans="1:15" x14ac:dyDescent="0.25">
      <c r="A196" s="2" t="s">
        <v>233</v>
      </c>
      <c r="B196" s="1">
        <v>44</v>
      </c>
      <c r="C196" s="1" t="s">
        <v>16</v>
      </c>
      <c r="D196" s="1" t="s">
        <v>40</v>
      </c>
      <c r="E196" s="1" t="s">
        <v>35</v>
      </c>
      <c r="F196" s="1">
        <v>58405</v>
      </c>
      <c r="G196" s="14">
        <v>4</v>
      </c>
      <c r="H196" s="1">
        <v>3</v>
      </c>
      <c r="I196" s="1">
        <v>3</v>
      </c>
      <c r="J196" s="1" t="s">
        <v>19</v>
      </c>
      <c r="K196" s="1">
        <v>4</v>
      </c>
      <c r="L196" s="1" t="s">
        <v>19</v>
      </c>
      <c r="M196" s="1" t="s">
        <v>21</v>
      </c>
      <c r="N196" s="1">
        <v>60</v>
      </c>
      <c r="O196" s="3" t="s">
        <v>42</v>
      </c>
    </row>
    <row r="197" spans="1:15" x14ac:dyDescent="0.25">
      <c r="A197" s="2" t="s">
        <v>234</v>
      </c>
      <c r="B197" s="1">
        <v>56</v>
      </c>
      <c r="C197" s="1" t="s">
        <v>28</v>
      </c>
      <c r="D197" s="1" t="s">
        <v>40</v>
      </c>
      <c r="E197" s="1" t="s">
        <v>35</v>
      </c>
      <c r="F197" s="1">
        <v>29746</v>
      </c>
      <c r="G197" s="14">
        <v>3</v>
      </c>
      <c r="H197" s="1">
        <v>5</v>
      </c>
      <c r="I197" s="1">
        <v>1</v>
      </c>
      <c r="J197" s="1" t="s">
        <v>20</v>
      </c>
      <c r="K197" s="1">
        <v>12</v>
      </c>
      <c r="L197" s="1" t="s">
        <v>19</v>
      </c>
      <c r="M197" s="1" t="s">
        <v>30</v>
      </c>
      <c r="N197" s="1">
        <v>57</v>
      </c>
      <c r="O197" s="3" t="s">
        <v>42</v>
      </c>
    </row>
    <row r="198" spans="1:15" x14ac:dyDescent="0.25">
      <c r="A198" s="2" t="s">
        <v>235</v>
      </c>
      <c r="B198" s="1">
        <v>26</v>
      </c>
      <c r="C198" s="1" t="s">
        <v>16</v>
      </c>
      <c r="D198" s="1" t="s">
        <v>24</v>
      </c>
      <c r="E198" s="1" t="s">
        <v>562</v>
      </c>
      <c r="F198" s="1">
        <v>40227</v>
      </c>
      <c r="G198" s="14">
        <v>4</v>
      </c>
      <c r="H198" s="1">
        <v>2</v>
      </c>
      <c r="I198" s="1">
        <v>2</v>
      </c>
      <c r="J198" s="1" t="s">
        <v>20</v>
      </c>
      <c r="K198" s="1">
        <v>9</v>
      </c>
      <c r="L198" s="1" t="s">
        <v>20</v>
      </c>
      <c r="M198" s="1" t="s">
        <v>30</v>
      </c>
      <c r="N198" s="1">
        <v>23</v>
      </c>
      <c r="O198" s="3" t="s">
        <v>22</v>
      </c>
    </row>
    <row r="199" spans="1:15" x14ac:dyDescent="0.25">
      <c r="A199" s="2" t="s">
        <v>236</v>
      </c>
      <c r="B199" s="1">
        <v>31</v>
      </c>
      <c r="C199" s="1" t="s">
        <v>28</v>
      </c>
      <c r="D199" s="1" t="s">
        <v>29</v>
      </c>
      <c r="E199" s="1" t="s">
        <v>33</v>
      </c>
      <c r="F199" s="1">
        <v>57289</v>
      </c>
      <c r="G199" s="14">
        <v>4</v>
      </c>
      <c r="H199" s="1">
        <v>1</v>
      </c>
      <c r="I199" s="1">
        <v>3</v>
      </c>
      <c r="J199" s="1" t="s">
        <v>20</v>
      </c>
      <c r="K199" s="1">
        <v>7</v>
      </c>
      <c r="L199" s="1" t="s">
        <v>20</v>
      </c>
      <c r="M199" s="1" t="s">
        <v>26</v>
      </c>
      <c r="N199" s="1">
        <v>30</v>
      </c>
      <c r="O199" s="3" t="s">
        <v>42</v>
      </c>
    </row>
    <row r="200" spans="1:15" x14ac:dyDescent="0.25">
      <c r="A200" s="2" t="s">
        <v>237</v>
      </c>
      <c r="B200" s="1">
        <v>27</v>
      </c>
      <c r="C200" s="1" t="s">
        <v>16</v>
      </c>
      <c r="D200" s="1" t="s">
        <v>29</v>
      </c>
      <c r="E200" s="1" t="s">
        <v>35</v>
      </c>
      <c r="F200" s="1">
        <v>68925</v>
      </c>
      <c r="G200" s="14">
        <v>3</v>
      </c>
      <c r="H200" s="1">
        <v>5</v>
      </c>
      <c r="I200" s="1">
        <v>4</v>
      </c>
      <c r="J200" s="1" t="s">
        <v>20</v>
      </c>
      <c r="K200" s="1">
        <v>14</v>
      </c>
      <c r="L200" s="1" t="s">
        <v>20</v>
      </c>
      <c r="M200" s="1" t="s">
        <v>30</v>
      </c>
      <c r="N200" s="1">
        <v>22</v>
      </c>
      <c r="O200" s="3" t="s">
        <v>36</v>
      </c>
    </row>
    <row r="201" spans="1:15" x14ac:dyDescent="0.25">
      <c r="A201" s="2" t="s">
        <v>238</v>
      </c>
      <c r="B201" s="1">
        <v>41</v>
      </c>
      <c r="C201" s="1" t="s">
        <v>16</v>
      </c>
      <c r="D201" s="1" t="s">
        <v>49</v>
      </c>
      <c r="E201" s="1" t="s">
        <v>18</v>
      </c>
      <c r="F201" s="1">
        <v>41283</v>
      </c>
      <c r="G201" s="14">
        <v>4</v>
      </c>
      <c r="H201" s="1">
        <v>3</v>
      </c>
      <c r="I201" s="1">
        <v>3</v>
      </c>
      <c r="J201" s="1" t="s">
        <v>20</v>
      </c>
      <c r="K201" s="1">
        <v>18</v>
      </c>
      <c r="L201" s="1" t="s">
        <v>19</v>
      </c>
      <c r="M201" s="1" t="s">
        <v>30</v>
      </c>
      <c r="N201" s="1">
        <v>53</v>
      </c>
      <c r="O201" s="3" t="s">
        <v>36</v>
      </c>
    </row>
    <row r="202" spans="1:15" x14ac:dyDescent="0.25">
      <c r="A202" s="2" t="s">
        <v>239</v>
      </c>
      <c r="B202" s="1">
        <v>46</v>
      </c>
      <c r="C202" s="1" t="s">
        <v>28</v>
      </c>
      <c r="D202" s="1" t="s">
        <v>40</v>
      </c>
      <c r="E202" s="1" t="s">
        <v>25</v>
      </c>
      <c r="F202" s="1">
        <v>44188</v>
      </c>
      <c r="G202" s="14">
        <v>5</v>
      </c>
      <c r="H202" s="1">
        <v>5</v>
      </c>
      <c r="I202" s="1">
        <v>2</v>
      </c>
      <c r="J202" s="1" t="s">
        <v>19</v>
      </c>
      <c r="K202" s="1">
        <v>14</v>
      </c>
      <c r="L202" s="1" t="s">
        <v>19</v>
      </c>
      <c r="M202" s="1" t="s">
        <v>30</v>
      </c>
      <c r="N202" s="1">
        <v>42</v>
      </c>
      <c r="O202" s="3" t="s">
        <v>22</v>
      </c>
    </row>
    <row r="203" spans="1:15" x14ac:dyDescent="0.25">
      <c r="A203" s="2" t="s">
        <v>240</v>
      </c>
      <c r="B203" s="1">
        <v>47</v>
      </c>
      <c r="C203" s="1" t="s">
        <v>28</v>
      </c>
      <c r="D203" s="1" t="s">
        <v>51</v>
      </c>
      <c r="E203" s="1" t="s">
        <v>38</v>
      </c>
      <c r="F203" s="1">
        <v>57692</v>
      </c>
      <c r="G203" s="14">
        <v>2</v>
      </c>
      <c r="H203" s="1">
        <v>3</v>
      </c>
      <c r="I203" s="1">
        <v>2</v>
      </c>
      <c r="J203" s="1" t="s">
        <v>20</v>
      </c>
      <c r="K203" s="1">
        <v>12</v>
      </c>
      <c r="L203" s="1" t="s">
        <v>19</v>
      </c>
      <c r="M203" s="1" t="s">
        <v>30</v>
      </c>
      <c r="N203" s="1">
        <v>66</v>
      </c>
      <c r="O203" s="3" t="s">
        <v>31</v>
      </c>
    </row>
    <row r="204" spans="1:15" x14ac:dyDescent="0.25">
      <c r="A204" s="2" t="s">
        <v>241</v>
      </c>
      <c r="B204" s="1">
        <v>46</v>
      </c>
      <c r="C204" s="1" t="s">
        <v>28</v>
      </c>
      <c r="D204" s="1" t="s">
        <v>24</v>
      </c>
      <c r="E204" s="1" t="s">
        <v>35</v>
      </c>
      <c r="F204" s="1">
        <v>65124</v>
      </c>
      <c r="G204" s="14">
        <v>5</v>
      </c>
      <c r="H204" s="1">
        <v>5</v>
      </c>
      <c r="I204" s="1">
        <v>1</v>
      </c>
      <c r="J204" s="1" t="s">
        <v>19</v>
      </c>
      <c r="K204" s="1">
        <v>7</v>
      </c>
      <c r="L204" s="1" t="s">
        <v>20</v>
      </c>
      <c r="M204" s="1" t="s">
        <v>21</v>
      </c>
      <c r="N204" s="1">
        <v>10</v>
      </c>
      <c r="O204" s="3" t="s">
        <v>31</v>
      </c>
    </row>
    <row r="205" spans="1:15" x14ac:dyDescent="0.25">
      <c r="A205" s="2" t="s">
        <v>242</v>
      </c>
      <c r="B205" s="1">
        <v>46</v>
      </c>
      <c r="C205" s="1" t="s">
        <v>28</v>
      </c>
      <c r="D205" s="1" t="s">
        <v>49</v>
      </c>
      <c r="E205" s="1" t="s">
        <v>35</v>
      </c>
      <c r="F205" s="1">
        <v>19382</v>
      </c>
      <c r="G205" s="14">
        <v>1</v>
      </c>
      <c r="H205" s="1">
        <v>3</v>
      </c>
      <c r="I205" s="1">
        <v>2</v>
      </c>
      <c r="J205" s="1" t="s">
        <v>19</v>
      </c>
      <c r="K205" s="1">
        <v>14</v>
      </c>
      <c r="L205" s="1" t="s">
        <v>20</v>
      </c>
      <c r="M205" s="1" t="s">
        <v>30</v>
      </c>
      <c r="N205" s="1">
        <v>64</v>
      </c>
      <c r="O205" s="3" t="s">
        <v>31</v>
      </c>
    </row>
    <row r="206" spans="1:15" x14ac:dyDescent="0.25">
      <c r="A206" s="2" t="s">
        <v>243</v>
      </c>
      <c r="B206" s="1">
        <v>53</v>
      </c>
      <c r="C206" s="1" t="s">
        <v>16</v>
      </c>
      <c r="D206" s="1" t="s">
        <v>29</v>
      </c>
      <c r="E206" s="1" t="s">
        <v>35</v>
      </c>
      <c r="F206" s="1">
        <v>81277</v>
      </c>
      <c r="G206" s="14">
        <v>1</v>
      </c>
      <c r="H206" s="1">
        <v>3</v>
      </c>
      <c r="I206" s="1">
        <v>4</v>
      </c>
      <c r="J206" s="1" t="s">
        <v>19</v>
      </c>
      <c r="K206" s="1">
        <v>3</v>
      </c>
      <c r="L206" s="1" t="s">
        <v>19</v>
      </c>
      <c r="M206" s="1" t="s">
        <v>30</v>
      </c>
      <c r="N206" s="1">
        <v>44</v>
      </c>
      <c r="O206" s="3" t="s">
        <v>36</v>
      </c>
    </row>
    <row r="207" spans="1:15" x14ac:dyDescent="0.25">
      <c r="A207" s="2" t="s">
        <v>244</v>
      </c>
      <c r="B207" s="1">
        <v>50</v>
      </c>
      <c r="C207" s="1" t="s">
        <v>16</v>
      </c>
      <c r="D207" s="1" t="s">
        <v>24</v>
      </c>
      <c r="E207" s="1" t="s">
        <v>33</v>
      </c>
      <c r="F207" s="1">
        <v>63652</v>
      </c>
      <c r="G207" s="14">
        <v>4</v>
      </c>
      <c r="H207" s="1">
        <v>1</v>
      </c>
      <c r="I207" s="1">
        <v>4</v>
      </c>
      <c r="J207" s="1" t="s">
        <v>20</v>
      </c>
      <c r="K207" s="1">
        <v>10</v>
      </c>
      <c r="L207" s="1" t="s">
        <v>19</v>
      </c>
      <c r="M207" s="1" t="s">
        <v>30</v>
      </c>
      <c r="N207" s="1">
        <v>10</v>
      </c>
      <c r="O207" s="3" t="s">
        <v>22</v>
      </c>
    </row>
    <row r="208" spans="1:15" x14ac:dyDescent="0.25">
      <c r="A208" s="2" t="s">
        <v>245</v>
      </c>
      <c r="B208" s="1">
        <v>22</v>
      </c>
      <c r="C208" s="1" t="s">
        <v>28</v>
      </c>
      <c r="D208" s="1" t="s">
        <v>17</v>
      </c>
      <c r="E208" s="1" t="s">
        <v>35</v>
      </c>
      <c r="F208" s="1">
        <v>106754</v>
      </c>
      <c r="G208" s="14">
        <v>2</v>
      </c>
      <c r="H208" s="1">
        <v>2</v>
      </c>
      <c r="I208" s="1">
        <v>5</v>
      </c>
      <c r="J208" s="1" t="s">
        <v>19</v>
      </c>
      <c r="K208" s="1">
        <v>17</v>
      </c>
      <c r="L208" s="1" t="s">
        <v>19</v>
      </c>
      <c r="M208" s="1" t="s">
        <v>30</v>
      </c>
      <c r="N208" s="1">
        <v>76</v>
      </c>
      <c r="O208" s="3" t="s">
        <v>42</v>
      </c>
    </row>
    <row r="209" spans="1:15" x14ac:dyDescent="0.25">
      <c r="A209" s="2" t="s">
        <v>246</v>
      </c>
      <c r="B209" s="1">
        <v>50</v>
      </c>
      <c r="C209" s="1" t="s">
        <v>16</v>
      </c>
      <c r="D209" s="1" t="s">
        <v>49</v>
      </c>
      <c r="E209" s="1" t="s">
        <v>38</v>
      </c>
      <c r="F209" s="1">
        <v>42176</v>
      </c>
      <c r="G209" s="14">
        <v>2</v>
      </c>
      <c r="H209" s="1">
        <v>4</v>
      </c>
      <c r="I209" s="1">
        <v>4</v>
      </c>
      <c r="J209" s="1" t="s">
        <v>19</v>
      </c>
      <c r="K209" s="1">
        <v>19</v>
      </c>
      <c r="L209" s="1" t="s">
        <v>19</v>
      </c>
      <c r="M209" s="1" t="s">
        <v>30</v>
      </c>
      <c r="N209" s="1">
        <v>80</v>
      </c>
      <c r="O209" s="3" t="s">
        <v>42</v>
      </c>
    </row>
    <row r="210" spans="1:15" x14ac:dyDescent="0.25">
      <c r="A210" s="2" t="s">
        <v>247</v>
      </c>
      <c r="B210" s="1">
        <v>45</v>
      </c>
      <c r="C210" s="1" t="s">
        <v>16</v>
      </c>
      <c r="D210" s="1" t="s">
        <v>17</v>
      </c>
      <c r="E210" s="1" t="s">
        <v>41</v>
      </c>
      <c r="F210" s="1">
        <v>44972</v>
      </c>
      <c r="G210" s="14">
        <v>3</v>
      </c>
      <c r="H210" s="1">
        <v>1</v>
      </c>
      <c r="I210" s="1">
        <v>5</v>
      </c>
      <c r="J210" s="1" t="s">
        <v>19</v>
      </c>
      <c r="K210" s="1">
        <v>17</v>
      </c>
      <c r="L210" s="1" t="s">
        <v>19</v>
      </c>
      <c r="M210" s="1" t="s">
        <v>30</v>
      </c>
      <c r="N210" s="1">
        <v>46</v>
      </c>
      <c r="O210" s="3" t="s">
        <v>44</v>
      </c>
    </row>
    <row r="211" spans="1:15" x14ac:dyDescent="0.25">
      <c r="A211" s="2" t="s">
        <v>248</v>
      </c>
      <c r="B211" s="1">
        <v>50</v>
      </c>
      <c r="C211" s="1" t="s">
        <v>16</v>
      </c>
      <c r="D211" s="1" t="s">
        <v>29</v>
      </c>
      <c r="E211" s="1" t="s">
        <v>38</v>
      </c>
      <c r="F211" s="1">
        <v>82157</v>
      </c>
      <c r="G211" s="14">
        <v>5</v>
      </c>
      <c r="H211" s="1">
        <v>3</v>
      </c>
      <c r="I211" s="1">
        <v>5</v>
      </c>
      <c r="J211" s="1" t="s">
        <v>20</v>
      </c>
      <c r="K211" s="1">
        <v>19</v>
      </c>
      <c r="L211" s="1" t="s">
        <v>20</v>
      </c>
      <c r="M211" s="1" t="s">
        <v>26</v>
      </c>
      <c r="N211" s="1">
        <v>19</v>
      </c>
      <c r="O211" s="3" t="s">
        <v>36</v>
      </c>
    </row>
    <row r="212" spans="1:15" x14ac:dyDescent="0.25">
      <c r="A212" s="2" t="s">
        <v>249</v>
      </c>
      <c r="B212" s="1">
        <v>39</v>
      </c>
      <c r="C212" s="1" t="s">
        <v>28</v>
      </c>
      <c r="D212" s="1" t="s">
        <v>24</v>
      </c>
      <c r="E212" s="1" t="s">
        <v>41</v>
      </c>
      <c r="F212" s="1">
        <v>106288</v>
      </c>
      <c r="G212" s="14">
        <v>3</v>
      </c>
      <c r="H212" s="1">
        <v>5</v>
      </c>
      <c r="I212" s="1">
        <v>5</v>
      </c>
      <c r="J212" s="1" t="s">
        <v>19</v>
      </c>
      <c r="K212" s="1">
        <v>4</v>
      </c>
      <c r="L212" s="1" t="s">
        <v>20</v>
      </c>
      <c r="M212" s="1" t="s">
        <v>21</v>
      </c>
      <c r="N212" s="1">
        <v>35</v>
      </c>
      <c r="O212" s="3" t="s">
        <v>36</v>
      </c>
    </row>
    <row r="213" spans="1:15" x14ac:dyDescent="0.25">
      <c r="A213" s="2" t="s">
        <v>250</v>
      </c>
      <c r="B213" s="1">
        <v>28</v>
      </c>
      <c r="C213" s="1" t="s">
        <v>16</v>
      </c>
      <c r="D213" s="1" t="s">
        <v>29</v>
      </c>
      <c r="E213" s="1" t="s">
        <v>38</v>
      </c>
      <c r="F213" s="1">
        <v>36528</v>
      </c>
      <c r="G213" s="14">
        <v>5</v>
      </c>
      <c r="H213" s="1">
        <v>4</v>
      </c>
      <c r="I213" s="1">
        <v>4</v>
      </c>
      <c r="J213" s="1" t="s">
        <v>19</v>
      </c>
      <c r="K213" s="1">
        <v>18</v>
      </c>
      <c r="L213" s="1" t="s">
        <v>20</v>
      </c>
      <c r="M213" s="1" t="s">
        <v>30</v>
      </c>
      <c r="N213" s="1">
        <v>28</v>
      </c>
      <c r="O213" s="3" t="s">
        <v>42</v>
      </c>
    </row>
    <row r="214" spans="1:15" x14ac:dyDescent="0.25">
      <c r="A214" s="2" t="s">
        <v>251</v>
      </c>
      <c r="B214" s="1">
        <v>55</v>
      </c>
      <c r="C214" s="1" t="s">
        <v>16</v>
      </c>
      <c r="D214" s="1" t="s">
        <v>24</v>
      </c>
      <c r="E214" s="1" t="s">
        <v>41</v>
      </c>
      <c r="F214" s="1">
        <v>82178</v>
      </c>
      <c r="G214" s="14">
        <v>3</v>
      </c>
      <c r="H214" s="1">
        <v>2</v>
      </c>
      <c r="I214" s="1">
        <v>2</v>
      </c>
      <c r="J214" s="1" t="s">
        <v>20</v>
      </c>
      <c r="K214" s="1">
        <v>14</v>
      </c>
      <c r="L214" s="1" t="s">
        <v>19</v>
      </c>
      <c r="M214" s="1" t="s">
        <v>30</v>
      </c>
      <c r="N214" s="1">
        <v>6</v>
      </c>
      <c r="O214" s="3" t="s">
        <v>42</v>
      </c>
    </row>
    <row r="215" spans="1:15" x14ac:dyDescent="0.25">
      <c r="A215" s="2" t="s">
        <v>252</v>
      </c>
      <c r="B215" s="1">
        <v>29</v>
      </c>
      <c r="C215" s="1" t="s">
        <v>16</v>
      </c>
      <c r="D215" s="1" t="s">
        <v>49</v>
      </c>
      <c r="E215" s="1" t="s">
        <v>25</v>
      </c>
      <c r="F215" s="1">
        <v>84248</v>
      </c>
      <c r="G215" s="14">
        <v>4</v>
      </c>
      <c r="H215" s="1">
        <v>3</v>
      </c>
      <c r="I215" s="1">
        <v>4</v>
      </c>
      <c r="J215" s="1" t="s">
        <v>20</v>
      </c>
      <c r="K215" s="1">
        <v>14</v>
      </c>
      <c r="L215" s="1" t="s">
        <v>20</v>
      </c>
      <c r="M215" s="1" t="s">
        <v>21</v>
      </c>
      <c r="N215" s="1">
        <v>15</v>
      </c>
      <c r="O215" s="3" t="s">
        <v>31</v>
      </c>
    </row>
    <row r="216" spans="1:15" x14ac:dyDescent="0.25">
      <c r="A216" s="2" t="s">
        <v>253</v>
      </c>
      <c r="B216" s="1">
        <v>22</v>
      </c>
      <c r="C216" s="1" t="s">
        <v>16</v>
      </c>
      <c r="D216" s="1" t="s">
        <v>29</v>
      </c>
      <c r="E216" s="1" t="s">
        <v>35</v>
      </c>
      <c r="F216" s="1">
        <v>54025</v>
      </c>
      <c r="G216" s="14">
        <v>3</v>
      </c>
      <c r="H216" s="1">
        <v>5</v>
      </c>
      <c r="I216" s="1">
        <v>3</v>
      </c>
      <c r="J216" s="1" t="s">
        <v>19</v>
      </c>
      <c r="K216" s="1">
        <v>14</v>
      </c>
      <c r="L216" s="1" t="s">
        <v>20</v>
      </c>
      <c r="M216" s="1" t="s">
        <v>26</v>
      </c>
      <c r="N216" s="1">
        <v>70</v>
      </c>
      <c r="O216" s="3" t="s">
        <v>22</v>
      </c>
    </row>
    <row r="217" spans="1:15" x14ac:dyDescent="0.25">
      <c r="A217" s="2" t="s">
        <v>254</v>
      </c>
      <c r="B217" s="1">
        <v>57</v>
      </c>
      <c r="C217" s="1" t="s">
        <v>16</v>
      </c>
      <c r="D217" s="1" t="s">
        <v>29</v>
      </c>
      <c r="E217" s="1" t="s">
        <v>25</v>
      </c>
      <c r="F217" s="1">
        <v>66085</v>
      </c>
      <c r="G217" s="14">
        <v>5</v>
      </c>
      <c r="H217" s="1">
        <v>1</v>
      </c>
      <c r="I217" s="1">
        <v>4</v>
      </c>
      <c r="J217" s="1" t="s">
        <v>19</v>
      </c>
      <c r="K217" s="1">
        <v>13</v>
      </c>
      <c r="L217" s="1" t="s">
        <v>19</v>
      </c>
      <c r="M217" s="1" t="s">
        <v>26</v>
      </c>
      <c r="N217" s="1">
        <v>36</v>
      </c>
      <c r="O217" s="3" t="s">
        <v>36</v>
      </c>
    </row>
    <row r="218" spans="1:15" x14ac:dyDescent="0.25">
      <c r="A218" s="2" t="s">
        <v>255</v>
      </c>
      <c r="B218" s="1">
        <v>23</v>
      </c>
      <c r="C218" s="1" t="s">
        <v>28</v>
      </c>
      <c r="D218" s="1" t="s">
        <v>29</v>
      </c>
      <c r="E218" s="1" t="s">
        <v>18</v>
      </c>
      <c r="F218" s="1">
        <v>29401</v>
      </c>
      <c r="G218" s="14">
        <v>4</v>
      </c>
      <c r="H218" s="1">
        <v>1</v>
      </c>
      <c r="I218" s="1">
        <v>2</v>
      </c>
      <c r="J218" s="1" t="s">
        <v>19</v>
      </c>
      <c r="K218" s="1">
        <v>18</v>
      </c>
      <c r="L218" s="1" t="s">
        <v>20</v>
      </c>
      <c r="M218" s="1" t="s">
        <v>26</v>
      </c>
      <c r="N218" s="1">
        <v>59</v>
      </c>
      <c r="O218" s="3" t="s">
        <v>44</v>
      </c>
    </row>
    <row r="219" spans="1:15" x14ac:dyDescent="0.25">
      <c r="A219" s="2" t="s">
        <v>256</v>
      </c>
      <c r="B219" s="1">
        <v>29</v>
      </c>
      <c r="C219" s="1" t="s">
        <v>16</v>
      </c>
      <c r="D219" s="1" t="s">
        <v>51</v>
      </c>
      <c r="E219" s="1" t="s">
        <v>35</v>
      </c>
      <c r="F219" s="1">
        <v>92720</v>
      </c>
      <c r="G219" s="14">
        <v>3</v>
      </c>
      <c r="H219" s="1">
        <v>3</v>
      </c>
      <c r="I219" s="1">
        <v>3</v>
      </c>
      <c r="J219" s="1" t="s">
        <v>19</v>
      </c>
      <c r="K219" s="1">
        <v>10</v>
      </c>
      <c r="L219" s="1" t="s">
        <v>20</v>
      </c>
      <c r="M219" s="1" t="s">
        <v>30</v>
      </c>
      <c r="N219" s="1">
        <v>78</v>
      </c>
      <c r="O219" s="3" t="s">
        <v>36</v>
      </c>
    </row>
    <row r="220" spans="1:15" x14ac:dyDescent="0.25">
      <c r="A220" s="2" t="s">
        <v>257</v>
      </c>
      <c r="B220" s="1">
        <v>53</v>
      </c>
      <c r="C220" s="1" t="s">
        <v>16</v>
      </c>
      <c r="D220" s="1" t="s">
        <v>51</v>
      </c>
      <c r="E220" s="1" t="s">
        <v>33</v>
      </c>
      <c r="F220" s="1">
        <v>25770</v>
      </c>
      <c r="G220" s="14">
        <v>3</v>
      </c>
      <c r="H220" s="1">
        <v>2</v>
      </c>
      <c r="I220" s="1">
        <v>2</v>
      </c>
      <c r="J220" s="1" t="s">
        <v>19</v>
      </c>
      <c r="K220" s="1">
        <v>4</v>
      </c>
      <c r="L220" s="1" t="s">
        <v>20</v>
      </c>
      <c r="M220" s="1" t="s">
        <v>21</v>
      </c>
      <c r="N220" s="1">
        <v>55</v>
      </c>
      <c r="O220" s="3" t="s">
        <v>42</v>
      </c>
    </row>
    <row r="221" spans="1:15" x14ac:dyDescent="0.25">
      <c r="A221" s="2" t="s">
        <v>258</v>
      </c>
      <c r="B221" s="1">
        <v>30</v>
      </c>
      <c r="C221" s="1" t="s">
        <v>28</v>
      </c>
      <c r="D221" s="1" t="s">
        <v>17</v>
      </c>
      <c r="E221" s="1" t="s">
        <v>33</v>
      </c>
      <c r="F221" s="1">
        <v>67174</v>
      </c>
      <c r="G221" s="14">
        <v>4</v>
      </c>
      <c r="H221" s="1">
        <v>1</v>
      </c>
      <c r="I221" s="1">
        <v>3</v>
      </c>
      <c r="J221" s="1" t="s">
        <v>20</v>
      </c>
      <c r="K221" s="1">
        <v>16</v>
      </c>
      <c r="L221" s="1" t="s">
        <v>20</v>
      </c>
      <c r="M221" s="1" t="s">
        <v>26</v>
      </c>
      <c r="N221" s="1">
        <v>52</v>
      </c>
      <c r="O221" s="3" t="s">
        <v>42</v>
      </c>
    </row>
    <row r="222" spans="1:15" x14ac:dyDescent="0.25">
      <c r="A222" s="2" t="s">
        <v>259</v>
      </c>
      <c r="B222" s="1">
        <v>52</v>
      </c>
      <c r="C222" s="1" t="s">
        <v>28</v>
      </c>
      <c r="D222" s="1" t="s">
        <v>24</v>
      </c>
      <c r="E222" s="1" t="s">
        <v>35</v>
      </c>
      <c r="F222" s="1">
        <v>119467</v>
      </c>
      <c r="G222" s="14">
        <v>1</v>
      </c>
      <c r="H222" s="1">
        <v>4</v>
      </c>
      <c r="I222" s="1">
        <v>3</v>
      </c>
      <c r="J222" s="1" t="s">
        <v>19</v>
      </c>
      <c r="K222" s="1">
        <v>17</v>
      </c>
      <c r="L222" s="1" t="s">
        <v>20</v>
      </c>
      <c r="M222" s="1" t="s">
        <v>21</v>
      </c>
      <c r="N222" s="1">
        <v>59</v>
      </c>
      <c r="O222" s="3" t="s">
        <v>44</v>
      </c>
    </row>
    <row r="223" spans="1:15" x14ac:dyDescent="0.25">
      <c r="A223" s="2" t="s">
        <v>260</v>
      </c>
      <c r="B223" s="1">
        <v>52</v>
      </c>
      <c r="C223" s="1" t="s">
        <v>28</v>
      </c>
      <c r="D223" s="1" t="s">
        <v>29</v>
      </c>
      <c r="E223" s="1" t="s">
        <v>18</v>
      </c>
      <c r="F223" s="1">
        <v>62270</v>
      </c>
      <c r="G223" s="14">
        <v>5</v>
      </c>
      <c r="H223" s="1">
        <v>5</v>
      </c>
      <c r="I223" s="1">
        <v>2</v>
      </c>
      <c r="J223" s="1" t="s">
        <v>20</v>
      </c>
      <c r="K223" s="1">
        <v>10</v>
      </c>
      <c r="L223" s="1" t="s">
        <v>19</v>
      </c>
      <c r="M223" s="1" t="s">
        <v>21</v>
      </c>
      <c r="N223" s="1">
        <v>17</v>
      </c>
      <c r="O223" s="3" t="s">
        <v>42</v>
      </c>
    </row>
    <row r="224" spans="1:15" x14ac:dyDescent="0.25">
      <c r="A224" s="2" t="s">
        <v>261</v>
      </c>
      <c r="B224" s="1">
        <v>22</v>
      </c>
      <c r="C224" s="1" t="s">
        <v>16</v>
      </c>
      <c r="D224" s="1" t="s">
        <v>51</v>
      </c>
      <c r="E224" s="1" t="s">
        <v>33</v>
      </c>
      <c r="F224" s="1">
        <v>77836</v>
      </c>
      <c r="G224" s="14">
        <v>1</v>
      </c>
      <c r="H224" s="1">
        <v>4</v>
      </c>
      <c r="I224" s="1">
        <v>3</v>
      </c>
      <c r="J224" s="1" t="s">
        <v>19</v>
      </c>
      <c r="K224" s="1">
        <v>20</v>
      </c>
      <c r="L224" s="1" t="s">
        <v>20</v>
      </c>
      <c r="M224" s="1" t="s">
        <v>21</v>
      </c>
      <c r="N224" s="1">
        <v>40</v>
      </c>
      <c r="O224" s="3" t="s">
        <v>22</v>
      </c>
    </row>
    <row r="225" spans="1:15" x14ac:dyDescent="0.25">
      <c r="A225" s="2" t="s">
        <v>262</v>
      </c>
      <c r="B225" s="1">
        <v>44</v>
      </c>
      <c r="C225" s="1" t="s">
        <v>28</v>
      </c>
      <c r="D225" s="1" t="s">
        <v>40</v>
      </c>
      <c r="E225" s="1" t="s">
        <v>18</v>
      </c>
      <c r="F225" s="1">
        <v>68925</v>
      </c>
      <c r="G225" s="14">
        <v>2</v>
      </c>
      <c r="H225" s="1">
        <v>1</v>
      </c>
      <c r="I225" s="1">
        <v>4</v>
      </c>
      <c r="J225" s="1" t="s">
        <v>20</v>
      </c>
      <c r="K225" s="1">
        <v>7</v>
      </c>
      <c r="L225" s="1" t="s">
        <v>20</v>
      </c>
      <c r="M225" s="1" t="s">
        <v>26</v>
      </c>
      <c r="N225" s="1">
        <v>16</v>
      </c>
      <c r="O225" s="3" t="s">
        <v>22</v>
      </c>
    </row>
    <row r="226" spans="1:15" x14ac:dyDescent="0.25">
      <c r="A226" s="2" t="s">
        <v>263</v>
      </c>
      <c r="B226" s="1">
        <v>21</v>
      </c>
      <c r="C226" s="1" t="s">
        <v>16</v>
      </c>
      <c r="D226" s="1" t="s">
        <v>49</v>
      </c>
      <c r="E226" s="1" t="s">
        <v>35</v>
      </c>
      <c r="F226" s="1">
        <v>35393</v>
      </c>
      <c r="G226" s="14">
        <v>5</v>
      </c>
      <c r="H226" s="1">
        <v>2</v>
      </c>
      <c r="I226" s="1">
        <v>5</v>
      </c>
      <c r="J226" s="1" t="s">
        <v>20</v>
      </c>
      <c r="K226" s="1">
        <v>0</v>
      </c>
      <c r="L226" s="1" t="s">
        <v>19</v>
      </c>
      <c r="M226" s="1" t="s">
        <v>26</v>
      </c>
      <c r="N226" s="1">
        <v>48</v>
      </c>
      <c r="O226" s="3" t="s">
        <v>22</v>
      </c>
    </row>
    <row r="227" spans="1:15" x14ac:dyDescent="0.25">
      <c r="A227" s="2" t="s">
        <v>264</v>
      </c>
      <c r="B227" s="1">
        <v>48</v>
      </c>
      <c r="C227" s="1" t="s">
        <v>16</v>
      </c>
      <c r="D227" s="1" t="s">
        <v>49</v>
      </c>
      <c r="E227" s="1" t="s">
        <v>35</v>
      </c>
      <c r="F227" s="1">
        <v>48008</v>
      </c>
      <c r="G227" s="14">
        <v>4</v>
      </c>
      <c r="H227" s="1">
        <v>1</v>
      </c>
      <c r="I227" s="1">
        <v>1</v>
      </c>
      <c r="J227" s="1" t="s">
        <v>19</v>
      </c>
      <c r="K227" s="1">
        <v>10</v>
      </c>
      <c r="L227" s="1" t="s">
        <v>20</v>
      </c>
      <c r="M227" s="1" t="s">
        <v>30</v>
      </c>
      <c r="N227" s="1">
        <v>22</v>
      </c>
      <c r="O227" s="3" t="s">
        <v>42</v>
      </c>
    </row>
    <row r="228" spans="1:15" x14ac:dyDescent="0.25">
      <c r="A228" s="2" t="s">
        <v>265</v>
      </c>
      <c r="B228" s="1">
        <v>29</v>
      </c>
      <c r="C228" s="1" t="s">
        <v>16</v>
      </c>
      <c r="D228" s="1" t="s">
        <v>40</v>
      </c>
      <c r="E228" s="1" t="s">
        <v>25</v>
      </c>
      <c r="F228" s="1">
        <v>91831</v>
      </c>
      <c r="G228" s="14">
        <v>1</v>
      </c>
      <c r="H228" s="1">
        <v>5</v>
      </c>
      <c r="I228" s="1">
        <v>2</v>
      </c>
      <c r="J228" s="1" t="s">
        <v>20</v>
      </c>
      <c r="K228" s="1">
        <v>11</v>
      </c>
      <c r="L228" s="1" t="s">
        <v>19</v>
      </c>
      <c r="M228" s="1" t="s">
        <v>26</v>
      </c>
      <c r="N228" s="1">
        <v>24</v>
      </c>
      <c r="O228" s="3" t="s">
        <v>42</v>
      </c>
    </row>
    <row r="229" spans="1:15" x14ac:dyDescent="0.25">
      <c r="A229" s="2" t="s">
        <v>266</v>
      </c>
      <c r="B229" s="1">
        <v>49</v>
      </c>
      <c r="C229" s="1" t="s">
        <v>16</v>
      </c>
      <c r="D229" s="1" t="s">
        <v>40</v>
      </c>
      <c r="E229" s="1" t="s">
        <v>35</v>
      </c>
      <c r="F229" s="1">
        <v>36351</v>
      </c>
      <c r="G229" s="14">
        <v>1</v>
      </c>
      <c r="H229" s="1">
        <v>5</v>
      </c>
      <c r="I229" s="1">
        <v>4</v>
      </c>
      <c r="J229" s="1" t="s">
        <v>20</v>
      </c>
      <c r="K229" s="1">
        <v>13</v>
      </c>
      <c r="L229" s="1" t="s">
        <v>20</v>
      </c>
      <c r="M229" s="1" t="s">
        <v>21</v>
      </c>
      <c r="N229" s="1">
        <v>36</v>
      </c>
      <c r="O229" s="3" t="s">
        <v>36</v>
      </c>
    </row>
    <row r="230" spans="1:15" x14ac:dyDescent="0.25">
      <c r="A230" s="2" t="s">
        <v>267</v>
      </c>
      <c r="B230" s="1">
        <v>26</v>
      </c>
      <c r="C230" s="1" t="s">
        <v>16</v>
      </c>
      <c r="D230" s="1" t="s">
        <v>24</v>
      </c>
      <c r="E230" s="1" t="s">
        <v>25</v>
      </c>
      <c r="F230" s="1">
        <v>96644</v>
      </c>
      <c r="G230" s="14">
        <v>5</v>
      </c>
      <c r="H230" s="1">
        <v>3</v>
      </c>
      <c r="I230" s="1">
        <v>1</v>
      </c>
      <c r="J230" s="1" t="s">
        <v>20</v>
      </c>
      <c r="K230" s="1">
        <v>6</v>
      </c>
      <c r="L230" s="1" t="s">
        <v>19</v>
      </c>
      <c r="M230" s="1" t="s">
        <v>26</v>
      </c>
      <c r="N230" s="1">
        <v>55</v>
      </c>
      <c r="O230" s="3" t="s">
        <v>36</v>
      </c>
    </row>
    <row r="231" spans="1:15" x14ac:dyDescent="0.25">
      <c r="A231" s="2" t="s">
        <v>268</v>
      </c>
      <c r="B231" s="1">
        <v>24</v>
      </c>
      <c r="C231" s="1" t="s">
        <v>16</v>
      </c>
      <c r="D231" s="1" t="s">
        <v>49</v>
      </c>
      <c r="E231" s="1" t="s">
        <v>33</v>
      </c>
      <c r="F231" s="1">
        <v>32777</v>
      </c>
      <c r="G231" s="14">
        <v>2</v>
      </c>
      <c r="H231" s="1">
        <v>4</v>
      </c>
      <c r="I231" s="1">
        <v>5</v>
      </c>
      <c r="J231" s="1" t="s">
        <v>19</v>
      </c>
      <c r="K231" s="1">
        <v>16</v>
      </c>
      <c r="L231" s="1" t="s">
        <v>19</v>
      </c>
      <c r="M231" s="1" t="s">
        <v>30</v>
      </c>
      <c r="N231" s="1">
        <v>45</v>
      </c>
      <c r="O231" s="3" t="s">
        <v>44</v>
      </c>
    </row>
    <row r="232" spans="1:15" x14ac:dyDescent="0.25">
      <c r="A232" s="2" t="s">
        <v>269</v>
      </c>
      <c r="B232" s="1">
        <v>45</v>
      </c>
      <c r="C232" s="1" t="s">
        <v>28</v>
      </c>
      <c r="D232" s="1" t="s">
        <v>29</v>
      </c>
      <c r="E232" s="1" t="s">
        <v>25</v>
      </c>
      <c r="F232" s="1">
        <v>107514</v>
      </c>
      <c r="G232" s="14">
        <v>2</v>
      </c>
      <c r="H232" s="1">
        <v>4</v>
      </c>
      <c r="I232" s="1">
        <v>1</v>
      </c>
      <c r="J232" s="1" t="s">
        <v>19</v>
      </c>
      <c r="K232" s="1">
        <v>18</v>
      </c>
      <c r="L232" s="1" t="s">
        <v>19</v>
      </c>
      <c r="M232" s="1" t="s">
        <v>21</v>
      </c>
      <c r="N232" s="1">
        <v>38</v>
      </c>
      <c r="O232" s="3" t="s">
        <v>44</v>
      </c>
    </row>
    <row r="233" spans="1:15" x14ac:dyDescent="0.25">
      <c r="A233" s="2" t="s">
        <v>270</v>
      </c>
      <c r="B233" s="1">
        <v>23</v>
      </c>
      <c r="C233" s="1" t="s">
        <v>16</v>
      </c>
      <c r="D233" s="1" t="s">
        <v>49</v>
      </c>
      <c r="E233" s="1" t="s">
        <v>25</v>
      </c>
      <c r="F233" s="1">
        <v>55550</v>
      </c>
      <c r="G233" s="14">
        <v>5</v>
      </c>
      <c r="H233" s="1">
        <v>4</v>
      </c>
      <c r="I233" s="1">
        <v>4</v>
      </c>
      <c r="J233" s="1" t="s">
        <v>20</v>
      </c>
      <c r="K233" s="1">
        <v>2</v>
      </c>
      <c r="L233" s="1" t="s">
        <v>19</v>
      </c>
      <c r="M233" s="1" t="s">
        <v>30</v>
      </c>
      <c r="N233" s="1">
        <v>15</v>
      </c>
      <c r="O233" s="3" t="s">
        <v>36</v>
      </c>
    </row>
    <row r="234" spans="1:15" x14ac:dyDescent="0.25">
      <c r="A234" s="2" t="s">
        <v>271</v>
      </c>
      <c r="B234" s="1">
        <v>26</v>
      </c>
      <c r="C234" s="1" t="s">
        <v>16</v>
      </c>
      <c r="D234" s="1" t="s">
        <v>51</v>
      </c>
      <c r="E234" s="1" t="s">
        <v>25</v>
      </c>
      <c r="F234" s="1">
        <v>68925</v>
      </c>
      <c r="G234" s="14">
        <v>4</v>
      </c>
      <c r="H234" s="1">
        <v>5</v>
      </c>
      <c r="I234" s="1">
        <v>1</v>
      </c>
      <c r="J234" s="1" t="s">
        <v>20</v>
      </c>
      <c r="K234" s="1">
        <v>13</v>
      </c>
      <c r="L234" s="1" t="s">
        <v>19</v>
      </c>
      <c r="M234" s="1" t="s">
        <v>21</v>
      </c>
      <c r="N234" s="1">
        <v>36</v>
      </c>
      <c r="O234" s="3" t="s">
        <v>22</v>
      </c>
    </row>
    <row r="235" spans="1:15" x14ac:dyDescent="0.25">
      <c r="A235" s="2" t="s">
        <v>272</v>
      </c>
      <c r="B235" s="1">
        <v>48</v>
      </c>
      <c r="C235" s="1" t="s">
        <v>16</v>
      </c>
      <c r="D235" s="1" t="s">
        <v>49</v>
      </c>
      <c r="E235" s="1" t="s">
        <v>25</v>
      </c>
      <c r="F235" s="1">
        <v>97800</v>
      </c>
      <c r="G235" s="14">
        <v>1</v>
      </c>
      <c r="H235" s="1">
        <v>3</v>
      </c>
      <c r="I235" s="1">
        <v>2</v>
      </c>
      <c r="J235" s="1" t="s">
        <v>19</v>
      </c>
      <c r="K235" s="1">
        <v>0</v>
      </c>
      <c r="L235" s="1" t="s">
        <v>19</v>
      </c>
      <c r="M235" s="1" t="s">
        <v>26</v>
      </c>
      <c r="N235" s="1">
        <v>6</v>
      </c>
      <c r="O235" s="3" t="s">
        <v>44</v>
      </c>
    </row>
    <row r="236" spans="1:15" x14ac:dyDescent="0.25">
      <c r="A236" s="2" t="s">
        <v>273</v>
      </c>
      <c r="B236" s="1">
        <v>52</v>
      </c>
      <c r="C236" s="1" t="s">
        <v>28</v>
      </c>
      <c r="D236" s="1" t="s">
        <v>24</v>
      </c>
      <c r="E236" s="1" t="s">
        <v>25</v>
      </c>
      <c r="F236" s="1">
        <v>68925</v>
      </c>
      <c r="G236" s="14">
        <v>3</v>
      </c>
      <c r="H236" s="1">
        <v>2</v>
      </c>
      <c r="I236" s="1">
        <v>3</v>
      </c>
      <c r="J236" s="1" t="s">
        <v>19</v>
      </c>
      <c r="K236" s="1">
        <v>8</v>
      </c>
      <c r="L236" s="1" t="s">
        <v>19</v>
      </c>
      <c r="M236" s="1" t="s">
        <v>21</v>
      </c>
      <c r="N236" s="1">
        <v>47</v>
      </c>
      <c r="O236" s="3" t="s">
        <v>42</v>
      </c>
    </row>
    <row r="237" spans="1:15" x14ac:dyDescent="0.25">
      <c r="A237" s="2" t="s">
        <v>274</v>
      </c>
      <c r="B237" s="1">
        <v>38</v>
      </c>
      <c r="C237" s="1" t="s">
        <v>16</v>
      </c>
      <c r="D237" s="1" t="s">
        <v>29</v>
      </c>
      <c r="E237" s="1" t="s">
        <v>38</v>
      </c>
      <c r="F237" s="1">
        <v>93582</v>
      </c>
      <c r="G237" s="14">
        <v>1</v>
      </c>
      <c r="H237" s="1">
        <v>4</v>
      </c>
      <c r="I237" s="1">
        <v>4</v>
      </c>
      <c r="J237" s="1" t="s">
        <v>20</v>
      </c>
      <c r="K237" s="1">
        <v>1</v>
      </c>
      <c r="L237" s="1" t="s">
        <v>20</v>
      </c>
      <c r="M237" s="1" t="s">
        <v>26</v>
      </c>
      <c r="N237" s="1">
        <v>26</v>
      </c>
      <c r="O237" s="3" t="s">
        <v>36</v>
      </c>
    </row>
    <row r="238" spans="1:15" x14ac:dyDescent="0.25">
      <c r="A238" s="2" t="s">
        <v>275</v>
      </c>
      <c r="B238" s="1">
        <v>31</v>
      </c>
      <c r="C238" s="1" t="s">
        <v>28</v>
      </c>
      <c r="D238" s="1" t="s">
        <v>40</v>
      </c>
      <c r="E238" s="1" t="s">
        <v>25</v>
      </c>
      <c r="F238" s="1">
        <v>106358</v>
      </c>
      <c r="G238" s="14">
        <v>1</v>
      </c>
      <c r="H238" s="1">
        <v>2</v>
      </c>
      <c r="I238" s="1">
        <v>3</v>
      </c>
      <c r="J238" s="1" t="s">
        <v>19</v>
      </c>
      <c r="K238" s="1">
        <v>1</v>
      </c>
      <c r="L238" s="1" t="s">
        <v>19</v>
      </c>
      <c r="M238" s="1" t="s">
        <v>21</v>
      </c>
      <c r="N238" s="1">
        <v>10</v>
      </c>
      <c r="O238" s="3" t="s">
        <v>42</v>
      </c>
    </row>
    <row r="239" spans="1:15" x14ac:dyDescent="0.25">
      <c r="A239" s="2" t="s">
        <v>276</v>
      </c>
      <c r="B239" s="1">
        <v>44</v>
      </c>
      <c r="C239" s="1" t="s">
        <v>28</v>
      </c>
      <c r="D239" s="1" t="s">
        <v>51</v>
      </c>
      <c r="E239" s="1" t="s">
        <v>41</v>
      </c>
      <c r="F239" s="1">
        <v>22635</v>
      </c>
      <c r="G239" s="14">
        <v>5</v>
      </c>
      <c r="H239" s="1">
        <v>4</v>
      </c>
      <c r="I239" s="1">
        <v>2</v>
      </c>
      <c r="J239" s="1" t="s">
        <v>20</v>
      </c>
      <c r="K239" s="1">
        <v>7</v>
      </c>
      <c r="L239" s="1" t="s">
        <v>20</v>
      </c>
      <c r="M239" s="1" t="s">
        <v>26</v>
      </c>
      <c r="N239" s="1">
        <v>45</v>
      </c>
      <c r="O239" s="3" t="s">
        <v>36</v>
      </c>
    </row>
    <row r="240" spans="1:15" x14ac:dyDescent="0.25">
      <c r="A240" s="2" t="s">
        <v>277</v>
      </c>
      <c r="B240" s="1">
        <v>25</v>
      </c>
      <c r="C240" s="1" t="s">
        <v>28</v>
      </c>
      <c r="D240" s="1" t="s">
        <v>40</v>
      </c>
      <c r="E240" s="1" t="s">
        <v>25</v>
      </c>
      <c r="F240" s="1">
        <v>106254</v>
      </c>
      <c r="G240" s="14">
        <v>3</v>
      </c>
      <c r="H240" s="1">
        <v>2</v>
      </c>
      <c r="I240" s="1">
        <v>2</v>
      </c>
      <c r="J240" s="1" t="s">
        <v>19</v>
      </c>
      <c r="K240" s="1">
        <v>12</v>
      </c>
      <c r="L240" s="1" t="s">
        <v>19</v>
      </c>
      <c r="M240" s="1" t="s">
        <v>30</v>
      </c>
      <c r="N240" s="1">
        <v>41</v>
      </c>
      <c r="O240" s="3" t="s">
        <v>36</v>
      </c>
    </row>
    <row r="241" spans="1:15" x14ac:dyDescent="0.25">
      <c r="A241" s="2" t="s">
        <v>278</v>
      </c>
      <c r="B241" s="1">
        <v>41</v>
      </c>
      <c r="C241" s="1" t="s">
        <v>16</v>
      </c>
      <c r="D241" s="1" t="s">
        <v>24</v>
      </c>
      <c r="E241" s="1" t="s">
        <v>33</v>
      </c>
      <c r="F241" s="1">
        <v>19044</v>
      </c>
      <c r="G241" s="14">
        <v>3</v>
      </c>
      <c r="H241" s="1">
        <v>2</v>
      </c>
      <c r="I241" s="1">
        <v>3</v>
      </c>
      <c r="J241" s="1" t="s">
        <v>20</v>
      </c>
      <c r="K241" s="1">
        <v>19</v>
      </c>
      <c r="L241" s="1" t="s">
        <v>19</v>
      </c>
      <c r="M241" s="1" t="s">
        <v>30</v>
      </c>
      <c r="N241" s="1">
        <v>52</v>
      </c>
      <c r="O241" s="3" t="s">
        <v>31</v>
      </c>
    </row>
    <row r="242" spans="1:15" x14ac:dyDescent="0.25">
      <c r="A242" s="2" t="s">
        <v>279</v>
      </c>
      <c r="B242" s="1">
        <v>52</v>
      </c>
      <c r="C242" s="1" t="s">
        <v>16</v>
      </c>
      <c r="D242" s="1" t="s">
        <v>17</v>
      </c>
      <c r="E242" s="1" t="s">
        <v>25</v>
      </c>
      <c r="F242" s="1">
        <v>117677</v>
      </c>
      <c r="G242" s="14">
        <v>2</v>
      </c>
      <c r="H242" s="1">
        <v>3</v>
      </c>
      <c r="I242" s="1">
        <v>1</v>
      </c>
      <c r="J242" s="1" t="s">
        <v>20</v>
      </c>
      <c r="K242" s="1">
        <v>0</v>
      </c>
      <c r="L242" s="1" t="s">
        <v>19</v>
      </c>
      <c r="M242" s="1" t="s">
        <v>26</v>
      </c>
      <c r="N242" s="1">
        <v>49</v>
      </c>
      <c r="O242" s="3" t="s">
        <v>22</v>
      </c>
    </row>
    <row r="243" spans="1:15" x14ac:dyDescent="0.25">
      <c r="A243" s="2" t="s">
        <v>280</v>
      </c>
      <c r="B243" s="1">
        <v>42</v>
      </c>
      <c r="C243" s="1" t="s">
        <v>16</v>
      </c>
      <c r="D243" s="1" t="s">
        <v>17</v>
      </c>
      <c r="E243" s="1" t="s">
        <v>33</v>
      </c>
      <c r="F243" s="1">
        <v>114741</v>
      </c>
      <c r="G243" s="14">
        <v>3</v>
      </c>
      <c r="H243" s="1">
        <v>1</v>
      </c>
      <c r="I243" s="1">
        <v>2</v>
      </c>
      <c r="J243" s="1" t="s">
        <v>19</v>
      </c>
      <c r="K243" s="1">
        <v>13</v>
      </c>
      <c r="L243" s="1" t="s">
        <v>20</v>
      </c>
      <c r="M243" s="1" t="s">
        <v>21</v>
      </c>
      <c r="N243" s="1">
        <v>23</v>
      </c>
      <c r="O243" s="3" t="s">
        <v>36</v>
      </c>
    </row>
    <row r="244" spans="1:15" x14ac:dyDescent="0.25">
      <c r="A244" s="2" t="s">
        <v>281</v>
      </c>
      <c r="B244" s="1">
        <v>26</v>
      </c>
      <c r="C244" s="1" t="s">
        <v>16</v>
      </c>
      <c r="D244" s="1" t="s">
        <v>51</v>
      </c>
      <c r="E244" s="1" t="s">
        <v>25</v>
      </c>
      <c r="F244" s="1">
        <v>72140</v>
      </c>
      <c r="G244" s="14">
        <v>3</v>
      </c>
      <c r="H244" s="1">
        <v>4</v>
      </c>
      <c r="I244" s="1">
        <v>3</v>
      </c>
      <c r="J244" s="1" t="s">
        <v>19</v>
      </c>
      <c r="K244" s="1">
        <v>16</v>
      </c>
      <c r="L244" s="1" t="s">
        <v>19</v>
      </c>
      <c r="M244" s="1" t="s">
        <v>26</v>
      </c>
      <c r="N244" s="1">
        <v>55</v>
      </c>
      <c r="O244" s="3" t="s">
        <v>22</v>
      </c>
    </row>
    <row r="245" spans="1:15" x14ac:dyDescent="0.25">
      <c r="A245" s="2" t="s">
        <v>282</v>
      </c>
      <c r="B245" s="1">
        <v>58</v>
      </c>
      <c r="C245" s="1" t="s">
        <v>16</v>
      </c>
      <c r="D245" s="1" t="s">
        <v>49</v>
      </c>
      <c r="E245" s="1" t="s">
        <v>38</v>
      </c>
      <c r="F245" s="1">
        <v>35132</v>
      </c>
      <c r="G245" s="14">
        <v>2</v>
      </c>
      <c r="H245" s="1">
        <v>3</v>
      </c>
      <c r="I245" s="1">
        <v>3</v>
      </c>
      <c r="J245" s="1" t="s">
        <v>20</v>
      </c>
      <c r="K245" s="1">
        <v>12</v>
      </c>
      <c r="L245" s="1" t="s">
        <v>20</v>
      </c>
      <c r="M245" s="1" t="s">
        <v>30</v>
      </c>
      <c r="N245" s="1">
        <v>62</v>
      </c>
      <c r="O245" s="3" t="s">
        <v>36</v>
      </c>
    </row>
    <row r="246" spans="1:15" x14ac:dyDescent="0.25">
      <c r="A246" s="2" t="s">
        <v>283</v>
      </c>
      <c r="B246" s="1">
        <v>35</v>
      </c>
      <c r="C246" s="1" t="s">
        <v>16</v>
      </c>
      <c r="D246" s="1" t="s">
        <v>51</v>
      </c>
      <c r="E246" s="1" t="s">
        <v>41</v>
      </c>
      <c r="F246" s="1">
        <v>118944</v>
      </c>
      <c r="G246" s="14">
        <v>5</v>
      </c>
      <c r="H246" s="1">
        <v>1</v>
      </c>
      <c r="I246" s="1">
        <v>2</v>
      </c>
      <c r="J246" s="1" t="s">
        <v>19</v>
      </c>
      <c r="K246" s="1">
        <v>5</v>
      </c>
      <c r="L246" s="1" t="s">
        <v>20</v>
      </c>
      <c r="M246" s="1" t="s">
        <v>30</v>
      </c>
      <c r="N246" s="1">
        <v>45</v>
      </c>
      <c r="O246" s="3" t="s">
        <v>42</v>
      </c>
    </row>
    <row r="247" spans="1:15" x14ac:dyDescent="0.25">
      <c r="A247" s="2" t="s">
        <v>284</v>
      </c>
      <c r="B247" s="1">
        <v>28</v>
      </c>
      <c r="C247" s="1" t="s">
        <v>28</v>
      </c>
      <c r="D247" s="1" t="s">
        <v>51</v>
      </c>
      <c r="E247" s="1" t="s">
        <v>33</v>
      </c>
      <c r="F247" s="1">
        <v>58410</v>
      </c>
      <c r="G247" s="14">
        <v>4</v>
      </c>
      <c r="H247" s="1">
        <v>3</v>
      </c>
      <c r="I247" s="1">
        <v>1</v>
      </c>
      <c r="J247" s="1" t="s">
        <v>19</v>
      </c>
      <c r="K247" s="1">
        <v>5</v>
      </c>
      <c r="L247" s="1" t="s">
        <v>20</v>
      </c>
      <c r="M247" s="1" t="s">
        <v>26</v>
      </c>
      <c r="N247" s="1">
        <v>10</v>
      </c>
      <c r="O247" s="3" t="s">
        <v>44</v>
      </c>
    </row>
    <row r="248" spans="1:15" x14ac:dyDescent="0.25">
      <c r="A248" s="2" t="s">
        <v>285</v>
      </c>
      <c r="B248" s="1">
        <v>41</v>
      </c>
      <c r="C248" s="1" t="s">
        <v>16</v>
      </c>
      <c r="D248" s="1" t="s">
        <v>40</v>
      </c>
      <c r="E248" s="1" t="s">
        <v>38</v>
      </c>
      <c r="F248" s="1">
        <v>50534</v>
      </c>
      <c r="G248" s="14">
        <v>3</v>
      </c>
      <c r="H248" s="1">
        <v>4</v>
      </c>
      <c r="I248" s="1">
        <v>5</v>
      </c>
      <c r="J248" s="1" t="s">
        <v>19</v>
      </c>
      <c r="K248" s="1">
        <v>9</v>
      </c>
      <c r="L248" s="1" t="s">
        <v>20</v>
      </c>
      <c r="M248" s="1" t="s">
        <v>21</v>
      </c>
      <c r="N248" s="1">
        <v>8</v>
      </c>
      <c r="O248" s="3" t="s">
        <v>42</v>
      </c>
    </row>
    <row r="249" spans="1:15" x14ac:dyDescent="0.25">
      <c r="A249" s="2" t="s">
        <v>286</v>
      </c>
      <c r="B249" s="1">
        <v>49</v>
      </c>
      <c r="C249" s="1" t="s">
        <v>16</v>
      </c>
      <c r="D249" s="1" t="s">
        <v>40</v>
      </c>
      <c r="E249" s="1" t="s">
        <v>33</v>
      </c>
      <c r="F249" s="1">
        <v>31357</v>
      </c>
      <c r="G249" s="14">
        <v>2</v>
      </c>
      <c r="H249" s="1">
        <v>1</v>
      </c>
      <c r="I249" s="1">
        <v>1</v>
      </c>
      <c r="J249" s="1" t="s">
        <v>19</v>
      </c>
      <c r="K249" s="1">
        <v>7</v>
      </c>
      <c r="L249" s="1" t="s">
        <v>19</v>
      </c>
      <c r="M249" s="1" t="s">
        <v>21</v>
      </c>
      <c r="N249" s="1">
        <v>56</v>
      </c>
      <c r="O249" s="3" t="s">
        <v>36</v>
      </c>
    </row>
    <row r="250" spans="1:15" x14ac:dyDescent="0.25">
      <c r="A250" s="2" t="s">
        <v>287</v>
      </c>
      <c r="B250" s="1">
        <v>26</v>
      </c>
      <c r="C250" s="1" t="s">
        <v>28</v>
      </c>
      <c r="D250" s="1" t="s">
        <v>40</v>
      </c>
      <c r="E250" s="1" t="s">
        <v>35</v>
      </c>
      <c r="F250" s="1">
        <v>26450</v>
      </c>
      <c r="G250" s="14">
        <v>2</v>
      </c>
      <c r="H250" s="1">
        <v>4</v>
      </c>
      <c r="I250" s="1">
        <v>2</v>
      </c>
      <c r="J250" s="1" t="s">
        <v>19</v>
      </c>
      <c r="K250" s="1">
        <v>10</v>
      </c>
      <c r="L250" s="1" t="s">
        <v>19</v>
      </c>
      <c r="M250" s="1" t="s">
        <v>21</v>
      </c>
      <c r="N250" s="1">
        <v>64</v>
      </c>
      <c r="O250" s="3" t="s">
        <v>22</v>
      </c>
    </row>
    <row r="251" spans="1:15" x14ac:dyDescent="0.25">
      <c r="A251" s="2" t="s">
        <v>288</v>
      </c>
      <c r="B251" s="1">
        <v>31</v>
      </c>
      <c r="C251" s="1" t="s">
        <v>28</v>
      </c>
      <c r="D251" s="1" t="s">
        <v>17</v>
      </c>
      <c r="E251" s="1" t="s">
        <v>33</v>
      </c>
      <c r="F251" s="1">
        <v>83028</v>
      </c>
      <c r="G251" s="14">
        <v>1</v>
      </c>
      <c r="H251" s="1">
        <v>4</v>
      </c>
      <c r="I251" s="1">
        <v>4</v>
      </c>
      <c r="J251" s="1" t="s">
        <v>19</v>
      </c>
      <c r="K251" s="1">
        <v>11</v>
      </c>
      <c r="L251" s="1" t="s">
        <v>19</v>
      </c>
      <c r="M251" s="1" t="s">
        <v>21</v>
      </c>
      <c r="N251" s="1">
        <v>40</v>
      </c>
      <c r="O251" s="3" t="s">
        <v>36</v>
      </c>
    </row>
    <row r="252" spans="1:15" x14ac:dyDescent="0.25">
      <c r="A252" s="2" t="s">
        <v>289</v>
      </c>
      <c r="B252" s="1">
        <v>39</v>
      </c>
      <c r="C252" s="1" t="s">
        <v>16</v>
      </c>
      <c r="D252" s="1" t="s">
        <v>40</v>
      </c>
      <c r="E252" s="1" t="s">
        <v>25</v>
      </c>
      <c r="F252" s="1">
        <v>99156</v>
      </c>
      <c r="G252" s="14">
        <v>5</v>
      </c>
      <c r="H252" s="1">
        <v>2</v>
      </c>
      <c r="I252" s="1">
        <v>3</v>
      </c>
      <c r="J252" s="1" t="s">
        <v>20</v>
      </c>
      <c r="K252" s="1">
        <v>13</v>
      </c>
      <c r="L252" s="1" t="s">
        <v>20</v>
      </c>
      <c r="M252" s="1" t="s">
        <v>21</v>
      </c>
      <c r="N252" s="1">
        <v>16</v>
      </c>
      <c r="O252" s="3" t="s">
        <v>36</v>
      </c>
    </row>
    <row r="253" spans="1:15" x14ac:dyDescent="0.25">
      <c r="A253" s="2" t="s">
        <v>290</v>
      </c>
      <c r="B253" s="1">
        <v>45</v>
      </c>
      <c r="C253" s="1" t="s">
        <v>16</v>
      </c>
      <c r="D253" s="1" t="s">
        <v>49</v>
      </c>
      <c r="E253" s="1" t="s">
        <v>41</v>
      </c>
      <c r="F253" s="1">
        <v>102233</v>
      </c>
      <c r="G253" s="14">
        <v>5</v>
      </c>
      <c r="H253" s="1">
        <v>2</v>
      </c>
      <c r="I253" s="1">
        <v>5</v>
      </c>
      <c r="J253" s="1" t="s">
        <v>19</v>
      </c>
      <c r="K253" s="1">
        <v>12</v>
      </c>
      <c r="L253" s="1" t="s">
        <v>20</v>
      </c>
      <c r="M253" s="1" t="s">
        <v>30</v>
      </c>
      <c r="N253" s="1">
        <v>74</v>
      </c>
      <c r="O253" s="3" t="s">
        <v>42</v>
      </c>
    </row>
    <row r="254" spans="1:15" x14ac:dyDescent="0.25">
      <c r="A254" s="2" t="s">
        <v>291</v>
      </c>
      <c r="B254" s="1">
        <v>43</v>
      </c>
      <c r="C254" s="1" t="s">
        <v>28</v>
      </c>
      <c r="D254" s="1" t="s">
        <v>49</v>
      </c>
      <c r="E254" s="1" t="s">
        <v>18</v>
      </c>
      <c r="F254" s="1">
        <v>41568</v>
      </c>
      <c r="G254" s="14">
        <v>1</v>
      </c>
      <c r="H254" s="1">
        <v>3</v>
      </c>
      <c r="I254" s="1">
        <v>5</v>
      </c>
      <c r="J254" s="1" t="s">
        <v>19</v>
      </c>
      <c r="K254" s="1">
        <v>0</v>
      </c>
      <c r="L254" s="1" t="s">
        <v>20</v>
      </c>
      <c r="M254" s="1" t="s">
        <v>21</v>
      </c>
      <c r="N254" s="1">
        <v>65</v>
      </c>
      <c r="O254" s="3" t="s">
        <v>31</v>
      </c>
    </row>
    <row r="255" spans="1:15" x14ac:dyDescent="0.25">
      <c r="A255" s="2" t="s">
        <v>292</v>
      </c>
      <c r="B255" s="1">
        <v>43</v>
      </c>
      <c r="C255" s="1" t="s">
        <v>16</v>
      </c>
      <c r="D255" s="1" t="s">
        <v>51</v>
      </c>
      <c r="E255" s="1" t="s">
        <v>35</v>
      </c>
      <c r="F255" s="1">
        <v>50487</v>
      </c>
      <c r="G255" s="14">
        <v>2</v>
      </c>
      <c r="H255" s="1">
        <v>3</v>
      </c>
      <c r="I255" s="1">
        <v>5</v>
      </c>
      <c r="J255" s="1" t="s">
        <v>19</v>
      </c>
      <c r="K255" s="1">
        <v>7</v>
      </c>
      <c r="L255" s="1" t="s">
        <v>20</v>
      </c>
      <c r="M255" s="1" t="s">
        <v>30</v>
      </c>
      <c r="N255" s="1">
        <v>27</v>
      </c>
      <c r="O255" s="3" t="s">
        <v>44</v>
      </c>
    </row>
    <row r="256" spans="1:15" x14ac:dyDescent="0.25">
      <c r="A256" s="2" t="s">
        <v>293</v>
      </c>
      <c r="B256" s="1">
        <v>36</v>
      </c>
      <c r="C256" s="1" t="s">
        <v>28</v>
      </c>
      <c r="D256" s="1" t="s">
        <v>17</v>
      </c>
      <c r="E256" s="1" t="s">
        <v>38</v>
      </c>
      <c r="F256" s="1">
        <v>65026</v>
      </c>
      <c r="G256" s="14">
        <v>5</v>
      </c>
      <c r="H256" s="1">
        <v>1</v>
      </c>
      <c r="I256" s="1">
        <v>3</v>
      </c>
      <c r="J256" s="1" t="s">
        <v>19</v>
      </c>
      <c r="K256" s="1">
        <v>18</v>
      </c>
      <c r="L256" s="1" t="s">
        <v>19</v>
      </c>
      <c r="M256" s="1" t="s">
        <v>30</v>
      </c>
      <c r="N256" s="1">
        <v>74</v>
      </c>
      <c r="O256" s="3" t="s">
        <v>36</v>
      </c>
    </row>
    <row r="257" spans="1:15" x14ac:dyDescent="0.25">
      <c r="A257" s="2" t="s">
        <v>294</v>
      </c>
      <c r="B257" s="1">
        <v>32</v>
      </c>
      <c r="C257" s="1" t="s">
        <v>28</v>
      </c>
      <c r="D257" s="1" t="s">
        <v>40</v>
      </c>
      <c r="E257" s="1" t="s">
        <v>35</v>
      </c>
      <c r="F257" s="1">
        <v>25362</v>
      </c>
      <c r="G257" s="14">
        <v>2</v>
      </c>
      <c r="H257" s="1">
        <v>5</v>
      </c>
      <c r="I257" s="1">
        <v>2</v>
      </c>
      <c r="J257" s="1" t="s">
        <v>19</v>
      </c>
      <c r="K257" s="1">
        <v>16</v>
      </c>
      <c r="L257" s="1" t="s">
        <v>20</v>
      </c>
      <c r="M257" s="1" t="s">
        <v>21</v>
      </c>
      <c r="N257" s="1">
        <v>47</v>
      </c>
      <c r="O257" s="3" t="s">
        <v>31</v>
      </c>
    </row>
    <row r="258" spans="1:15" x14ac:dyDescent="0.25">
      <c r="A258" s="2" t="s">
        <v>295</v>
      </c>
      <c r="B258" s="1">
        <v>33</v>
      </c>
      <c r="C258" s="1" t="s">
        <v>16</v>
      </c>
      <c r="D258" s="1" t="s">
        <v>29</v>
      </c>
      <c r="E258" s="1" t="s">
        <v>38</v>
      </c>
      <c r="F258" s="1">
        <v>41260</v>
      </c>
      <c r="G258" s="14">
        <v>3</v>
      </c>
      <c r="H258" s="1">
        <v>1</v>
      </c>
      <c r="I258" s="1">
        <v>1</v>
      </c>
      <c r="J258" s="1" t="s">
        <v>19</v>
      </c>
      <c r="K258" s="1">
        <v>18</v>
      </c>
      <c r="L258" s="1" t="s">
        <v>19</v>
      </c>
      <c r="M258" s="1" t="s">
        <v>21</v>
      </c>
      <c r="N258" s="1">
        <v>72</v>
      </c>
      <c r="O258" s="3" t="s">
        <v>36</v>
      </c>
    </row>
    <row r="259" spans="1:15" x14ac:dyDescent="0.25">
      <c r="A259" s="2" t="s">
        <v>296</v>
      </c>
      <c r="B259" s="1">
        <v>25</v>
      </c>
      <c r="C259" s="1" t="s">
        <v>28</v>
      </c>
      <c r="D259" s="1" t="s">
        <v>17</v>
      </c>
      <c r="E259" s="1" t="s">
        <v>38</v>
      </c>
      <c r="F259" s="1">
        <v>69851</v>
      </c>
      <c r="G259" s="14">
        <v>5</v>
      </c>
      <c r="H259" s="1">
        <v>1</v>
      </c>
      <c r="I259" s="1">
        <v>3</v>
      </c>
      <c r="J259" s="1" t="s">
        <v>20</v>
      </c>
      <c r="K259" s="1">
        <v>10</v>
      </c>
      <c r="L259" s="1" t="s">
        <v>19</v>
      </c>
      <c r="M259" s="1" t="s">
        <v>21</v>
      </c>
      <c r="N259" s="1">
        <v>60</v>
      </c>
      <c r="O259" s="3" t="s">
        <v>42</v>
      </c>
    </row>
    <row r="260" spans="1:15" x14ac:dyDescent="0.25">
      <c r="A260" s="2" t="s">
        <v>297</v>
      </c>
      <c r="B260" s="1">
        <v>41</v>
      </c>
      <c r="C260" s="1" t="s">
        <v>16</v>
      </c>
      <c r="D260" s="1" t="s">
        <v>17</v>
      </c>
      <c r="E260" s="1" t="s">
        <v>25</v>
      </c>
      <c r="F260" s="1">
        <v>108906</v>
      </c>
      <c r="G260" s="14">
        <v>5</v>
      </c>
      <c r="H260" s="1">
        <v>3</v>
      </c>
      <c r="I260" s="1">
        <v>2</v>
      </c>
      <c r="J260" s="1" t="s">
        <v>19</v>
      </c>
      <c r="K260" s="1">
        <v>12</v>
      </c>
      <c r="L260" s="1" t="s">
        <v>20</v>
      </c>
      <c r="M260" s="1" t="s">
        <v>26</v>
      </c>
      <c r="N260" s="1">
        <v>42</v>
      </c>
      <c r="O260" s="3" t="s">
        <v>44</v>
      </c>
    </row>
    <row r="261" spans="1:15" x14ac:dyDescent="0.25">
      <c r="A261" s="2" t="s">
        <v>298</v>
      </c>
      <c r="B261" s="1">
        <v>32</v>
      </c>
      <c r="C261" s="1" t="s">
        <v>16</v>
      </c>
      <c r="D261" s="1" t="s">
        <v>17</v>
      </c>
      <c r="E261" s="1" t="s">
        <v>25</v>
      </c>
      <c r="F261" s="1">
        <v>69327</v>
      </c>
      <c r="G261" s="14">
        <v>5</v>
      </c>
      <c r="H261" s="1">
        <v>1</v>
      </c>
      <c r="I261" s="1">
        <v>2</v>
      </c>
      <c r="J261" s="1" t="s">
        <v>20</v>
      </c>
      <c r="K261" s="1">
        <v>19</v>
      </c>
      <c r="L261" s="1" t="s">
        <v>19</v>
      </c>
      <c r="M261" s="1" t="s">
        <v>26</v>
      </c>
      <c r="N261" s="1">
        <v>77</v>
      </c>
      <c r="O261" s="3" t="s">
        <v>22</v>
      </c>
    </row>
    <row r="262" spans="1:15" x14ac:dyDescent="0.25">
      <c r="A262" s="2" t="s">
        <v>299</v>
      </c>
      <c r="B262" s="1">
        <v>52</v>
      </c>
      <c r="C262" s="1" t="s">
        <v>16</v>
      </c>
      <c r="D262" s="1" t="s">
        <v>29</v>
      </c>
      <c r="E262" s="1" t="s">
        <v>38</v>
      </c>
      <c r="F262" s="1">
        <v>28198</v>
      </c>
      <c r="G262" s="14">
        <v>2</v>
      </c>
      <c r="H262" s="1">
        <v>3</v>
      </c>
      <c r="I262" s="1">
        <v>3</v>
      </c>
      <c r="J262" s="1" t="s">
        <v>19</v>
      </c>
      <c r="K262" s="1">
        <v>20</v>
      </c>
      <c r="L262" s="1" t="s">
        <v>19</v>
      </c>
      <c r="M262" s="1" t="s">
        <v>26</v>
      </c>
      <c r="N262" s="1">
        <v>47</v>
      </c>
      <c r="O262" s="3" t="s">
        <v>42</v>
      </c>
    </row>
    <row r="263" spans="1:15" x14ac:dyDescent="0.25">
      <c r="A263" s="2" t="s">
        <v>300</v>
      </c>
      <c r="B263" s="1">
        <v>21</v>
      </c>
      <c r="C263" s="1" t="s">
        <v>28</v>
      </c>
      <c r="D263" s="1" t="s">
        <v>51</v>
      </c>
      <c r="E263" s="1" t="s">
        <v>41</v>
      </c>
      <c r="F263" s="1">
        <v>108855</v>
      </c>
      <c r="G263" s="14">
        <v>1</v>
      </c>
      <c r="H263" s="1">
        <v>3</v>
      </c>
      <c r="I263" s="1">
        <v>3</v>
      </c>
      <c r="J263" s="1" t="s">
        <v>19</v>
      </c>
      <c r="K263" s="1">
        <v>0</v>
      </c>
      <c r="L263" s="1" t="s">
        <v>19</v>
      </c>
      <c r="M263" s="1" t="s">
        <v>30</v>
      </c>
      <c r="N263" s="1">
        <v>61</v>
      </c>
      <c r="O263" s="3" t="s">
        <v>42</v>
      </c>
    </row>
    <row r="264" spans="1:15" x14ac:dyDescent="0.25">
      <c r="A264" s="2" t="s">
        <v>301</v>
      </c>
      <c r="B264" s="1">
        <v>31</v>
      </c>
      <c r="C264" s="1" t="s">
        <v>28</v>
      </c>
      <c r="D264" s="1" t="s">
        <v>49</v>
      </c>
      <c r="E264" s="1" t="s">
        <v>33</v>
      </c>
      <c r="F264" s="1">
        <v>64036</v>
      </c>
      <c r="G264" s="14">
        <v>5</v>
      </c>
      <c r="H264" s="1">
        <v>4</v>
      </c>
      <c r="I264" s="1">
        <v>1</v>
      </c>
      <c r="J264" s="1" t="s">
        <v>20</v>
      </c>
      <c r="K264" s="1">
        <v>18</v>
      </c>
      <c r="L264" s="1" t="s">
        <v>19</v>
      </c>
      <c r="M264" s="1" t="s">
        <v>21</v>
      </c>
      <c r="N264" s="1">
        <v>62</v>
      </c>
      <c r="O264" s="3" t="s">
        <v>22</v>
      </c>
    </row>
    <row r="265" spans="1:15" x14ac:dyDescent="0.25">
      <c r="A265" s="2" t="s">
        <v>302</v>
      </c>
      <c r="B265" s="1">
        <v>23</v>
      </c>
      <c r="C265" s="1" t="s">
        <v>28</v>
      </c>
      <c r="D265" s="1" t="s">
        <v>40</v>
      </c>
      <c r="E265" s="1" t="s">
        <v>18</v>
      </c>
      <c r="F265" s="1">
        <v>52226</v>
      </c>
      <c r="G265" s="14">
        <v>1</v>
      </c>
      <c r="H265" s="1">
        <v>1</v>
      </c>
      <c r="I265" s="1">
        <v>3</v>
      </c>
      <c r="J265" s="1" t="s">
        <v>19</v>
      </c>
      <c r="K265" s="1">
        <v>12</v>
      </c>
      <c r="L265" s="1" t="s">
        <v>19</v>
      </c>
      <c r="M265" s="1" t="s">
        <v>26</v>
      </c>
      <c r="N265" s="1">
        <v>14</v>
      </c>
      <c r="O265" s="3" t="s">
        <v>31</v>
      </c>
    </row>
    <row r="266" spans="1:15" x14ac:dyDescent="0.25">
      <c r="A266" s="2" t="s">
        <v>303</v>
      </c>
      <c r="B266" s="1">
        <v>26</v>
      </c>
      <c r="C266" s="1" t="s">
        <v>28</v>
      </c>
      <c r="D266" s="1" t="s">
        <v>24</v>
      </c>
      <c r="E266" s="1" t="s">
        <v>25</v>
      </c>
      <c r="F266" s="1">
        <v>81273</v>
      </c>
      <c r="G266" s="14">
        <v>1</v>
      </c>
      <c r="H266" s="1">
        <v>4</v>
      </c>
      <c r="I266" s="1">
        <v>2</v>
      </c>
      <c r="J266" s="1" t="s">
        <v>20</v>
      </c>
      <c r="K266" s="1">
        <v>5</v>
      </c>
      <c r="L266" s="1" t="s">
        <v>19</v>
      </c>
      <c r="M266" s="1" t="s">
        <v>21</v>
      </c>
      <c r="N266" s="1">
        <v>47</v>
      </c>
      <c r="O266" s="3" t="s">
        <v>44</v>
      </c>
    </row>
    <row r="267" spans="1:15" x14ac:dyDescent="0.25">
      <c r="A267" s="2" t="s">
        <v>304</v>
      </c>
      <c r="B267" s="1">
        <v>33</v>
      </c>
      <c r="C267" s="1" t="s">
        <v>28</v>
      </c>
      <c r="D267" s="1" t="s">
        <v>17</v>
      </c>
      <c r="E267" s="1" t="s">
        <v>25</v>
      </c>
      <c r="F267" s="1">
        <v>112638</v>
      </c>
      <c r="G267" s="14">
        <v>5</v>
      </c>
      <c r="H267" s="1">
        <v>3</v>
      </c>
      <c r="I267" s="1">
        <v>3</v>
      </c>
      <c r="J267" s="1" t="s">
        <v>20</v>
      </c>
      <c r="K267" s="1">
        <v>7</v>
      </c>
      <c r="L267" s="1" t="s">
        <v>19</v>
      </c>
      <c r="M267" s="1" t="s">
        <v>21</v>
      </c>
      <c r="N267" s="1">
        <v>55</v>
      </c>
      <c r="O267" s="3" t="s">
        <v>31</v>
      </c>
    </row>
    <row r="268" spans="1:15" x14ac:dyDescent="0.25">
      <c r="A268" s="2" t="s">
        <v>305</v>
      </c>
      <c r="B268" s="1">
        <v>56</v>
      </c>
      <c r="C268" s="1" t="s">
        <v>28</v>
      </c>
      <c r="D268" s="1" t="s">
        <v>51</v>
      </c>
      <c r="E268" s="1" t="s">
        <v>35</v>
      </c>
      <c r="F268" s="1">
        <v>65294</v>
      </c>
      <c r="G268" s="14">
        <v>1</v>
      </c>
      <c r="H268" s="1">
        <v>4</v>
      </c>
      <c r="I268" s="1">
        <v>1</v>
      </c>
      <c r="J268" s="1" t="s">
        <v>20</v>
      </c>
      <c r="K268" s="1">
        <v>20</v>
      </c>
      <c r="L268" s="1" t="s">
        <v>20</v>
      </c>
      <c r="M268" s="1" t="s">
        <v>21</v>
      </c>
      <c r="N268" s="1">
        <v>17</v>
      </c>
      <c r="O268" s="3" t="s">
        <v>22</v>
      </c>
    </row>
    <row r="269" spans="1:15" x14ac:dyDescent="0.25">
      <c r="A269" s="2" t="s">
        <v>306</v>
      </c>
      <c r="B269" s="1">
        <v>39</v>
      </c>
      <c r="C269" s="1" t="s">
        <v>16</v>
      </c>
      <c r="D269" s="1" t="s">
        <v>17</v>
      </c>
      <c r="E269" s="1" t="s">
        <v>18</v>
      </c>
      <c r="F269" s="1">
        <v>28739</v>
      </c>
      <c r="G269" s="14">
        <v>4</v>
      </c>
      <c r="H269" s="1">
        <v>1</v>
      </c>
      <c r="I269" s="1">
        <v>3</v>
      </c>
      <c r="J269" s="1" t="s">
        <v>20</v>
      </c>
      <c r="K269" s="1">
        <v>15</v>
      </c>
      <c r="L269" s="1" t="s">
        <v>20</v>
      </c>
      <c r="M269" s="1" t="s">
        <v>26</v>
      </c>
      <c r="N269" s="1">
        <v>38</v>
      </c>
      <c r="O269" s="3" t="s">
        <v>22</v>
      </c>
    </row>
    <row r="270" spans="1:15" x14ac:dyDescent="0.25">
      <c r="A270" s="2" t="s">
        <v>307</v>
      </c>
      <c r="B270" s="1">
        <v>55</v>
      </c>
      <c r="C270" s="1" t="s">
        <v>28</v>
      </c>
      <c r="D270" s="1" t="s">
        <v>51</v>
      </c>
      <c r="E270" s="1" t="s">
        <v>18</v>
      </c>
      <c r="F270" s="1">
        <v>67996</v>
      </c>
      <c r="G270" s="14">
        <v>3</v>
      </c>
      <c r="H270" s="1">
        <v>2</v>
      </c>
      <c r="I270" s="1">
        <v>4</v>
      </c>
      <c r="J270" s="1" t="s">
        <v>19</v>
      </c>
      <c r="K270" s="1">
        <v>8</v>
      </c>
      <c r="L270" s="1" t="s">
        <v>20</v>
      </c>
      <c r="M270" s="1" t="s">
        <v>30</v>
      </c>
      <c r="N270" s="1">
        <v>38</v>
      </c>
      <c r="O270" s="3" t="s">
        <v>44</v>
      </c>
    </row>
    <row r="271" spans="1:15" x14ac:dyDescent="0.25">
      <c r="A271" s="2" t="s">
        <v>308</v>
      </c>
      <c r="B271" s="1">
        <v>38</v>
      </c>
      <c r="C271" s="1" t="s">
        <v>16</v>
      </c>
      <c r="D271" s="1" t="s">
        <v>51</v>
      </c>
      <c r="E271" s="1" t="s">
        <v>38</v>
      </c>
      <c r="F271" s="1">
        <v>105486</v>
      </c>
      <c r="G271" s="14">
        <v>1</v>
      </c>
      <c r="H271" s="1">
        <v>1</v>
      </c>
      <c r="I271" s="1">
        <v>3</v>
      </c>
      <c r="J271" s="1" t="s">
        <v>20</v>
      </c>
      <c r="K271" s="1">
        <v>18</v>
      </c>
      <c r="L271" s="1" t="s">
        <v>19</v>
      </c>
      <c r="M271" s="1" t="s">
        <v>26</v>
      </c>
      <c r="N271" s="1">
        <v>12</v>
      </c>
      <c r="O271" s="3" t="s">
        <v>42</v>
      </c>
    </row>
    <row r="272" spans="1:15" x14ac:dyDescent="0.25">
      <c r="A272" s="2" t="s">
        <v>309</v>
      </c>
      <c r="B272" s="1">
        <v>54</v>
      </c>
      <c r="C272" s="1" t="s">
        <v>28</v>
      </c>
      <c r="D272" s="1" t="s">
        <v>24</v>
      </c>
      <c r="E272" s="1" t="s">
        <v>38</v>
      </c>
      <c r="F272" s="1">
        <v>80236</v>
      </c>
      <c r="G272" s="14">
        <v>5</v>
      </c>
      <c r="H272" s="1">
        <v>2</v>
      </c>
      <c r="I272" s="1">
        <v>4</v>
      </c>
      <c r="J272" s="1" t="s">
        <v>20</v>
      </c>
      <c r="K272" s="1">
        <v>2</v>
      </c>
      <c r="L272" s="1" t="s">
        <v>20</v>
      </c>
      <c r="M272" s="1" t="s">
        <v>26</v>
      </c>
      <c r="N272" s="1">
        <v>9</v>
      </c>
      <c r="O272" s="3" t="s">
        <v>31</v>
      </c>
    </row>
    <row r="273" spans="1:15" x14ac:dyDescent="0.25">
      <c r="A273" s="2" t="s">
        <v>310</v>
      </c>
      <c r="B273" s="1">
        <v>57</v>
      </c>
      <c r="C273" s="1" t="s">
        <v>16</v>
      </c>
      <c r="D273" s="1" t="s">
        <v>40</v>
      </c>
      <c r="E273" s="1" t="s">
        <v>33</v>
      </c>
      <c r="F273" s="1">
        <v>40659</v>
      </c>
      <c r="G273" s="14">
        <v>2</v>
      </c>
      <c r="H273" s="1">
        <v>3</v>
      </c>
      <c r="I273" s="1">
        <v>2</v>
      </c>
      <c r="J273" s="1" t="s">
        <v>19</v>
      </c>
      <c r="K273" s="1">
        <v>1</v>
      </c>
      <c r="L273" s="1" t="s">
        <v>20</v>
      </c>
      <c r="M273" s="1" t="s">
        <v>21</v>
      </c>
      <c r="N273" s="1">
        <v>60</v>
      </c>
      <c r="O273" s="3" t="s">
        <v>44</v>
      </c>
    </row>
    <row r="274" spans="1:15" x14ac:dyDescent="0.25">
      <c r="A274" s="2" t="s">
        <v>311</v>
      </c>
      <c r="B274" s="1">
        <v>30</v>
      </c>
      <c r="C274" s="1" t="s">
        <v>28</v>
      </c>
      <c r="D274" s="1" t="s">
        <v>29</v>
      </c>
      <c r="E274" s="1" t="s">
        <v>38</v>
      </c>
      <c r="F274" s="1">
        <v>26783</v>
      </c>
      <c r="G274" s="14">
        <v>1</v>
      </c>
      <c r="H274" s="1">
        <v>4</v>
      </c>
      <c r="I274" s="1">
        <v>5</v>
      </c>
      <c r="J274" s="1" t="s">
        <v>20</v>
      </c>
      <c r="K274" s="1">
        <v>17</v>
      </c>
      <c r="L274" s="1" t="s">
        <v>20</v>
      </c>
      <c r="M274" s="1" t="s">
        <v>30</v>
      </c>
      <c r="N274" s="1">
        <v>71</v>
      </c>
      <c r="O274" s="3" t="s">
        <v>42</v>
      </c>
    </row>
    <row r="275" spans="1:15" x14ac:dyDescent="0.25">
      <c r="A275" s="2" t="s">
        <v>312</v>
      </c>
      <c r="B275" s="1">
        <v>21</v>
      </c>
      <c r="C275" s="1" t="s">
        <v>28</v>
      </c>
      <c r="D275" s="1" t="s">
        <v>40</v>
      </c>
      <c r="E275" s="1" t="s">
        <v>33</v>
      </c>
      <c r="F275" s="1">
        <v>37613</v>
      </c>
      <c r="G275" s="14">
        <v>2</v>
      </c>
      <c r="H275" s="1">
        <v>5</v>
      </c>
      <c r="I275" s="1">
        <v>5</v>
      </c>
      <c r="J275" s="1" t="s">
        <v>19</v>
      </c>
      <c r="K275" s="1">
        <v>3</v>
      </c>
      <c r="L275" s="1" t="s">
        <v>19</v>
      </c>
      <c r="M275" s="1" t="s">
        <v>30</v>
      </c>
      <c r="N275" s="1">
        <v>73</v>
      </c>
      <c r="O275" s="3" t="s">
        <v>36</v>
      </c>
    </row>
    <row r="276" spans="1:15" x14ac:dyDescent="0.25">
      <c r="A276" s="2" t="s">
        <v>313</v>
      </c>
      <c r="B276" s="1">
        <v>47</v>
      </c>
      <c r="C276" s="1" t="s">
        <v>28</v>
      </c>
      <c r="D276" s="1" t="s">
        <v>49</v>
      </c>
      <c r="E276" s="1" t="s">
        <v>38</v>
      </c>
      <c r="F276" s="1">
        <v>81646</v>
      </c>
      <c r="G276" s="14">
        <v>5</v>
      </c>
      <c r="H276" s="1">
        <v>5</v>
      </c>
      <c r="I276" s="1">
        <v>4</v>
      </c>
      <c r="J276" s="1" t="s">
        <v>19</v>
      </c>
      <c r="K276" s="1">
        <v>5</v>
      </c>
      <c r="L276" s="1" t="s">
        <v>20</v>
      </c>
      <c r="M276" s="1" t="s">
        <v>30</v>
      </c>
      <c r="N276" s="1">
        <v>23</v>
      </c>
      <c r="O276" s="3" t="s">
        <v>31</v>
      </c>
    </row>
    <row r="277" spans="1:15" x14ac:dyDescent="0.25">
      <c r="A277" s="2" t="s">
        <v>314</v>
      </c>
      <c r="B277" s="1">
        <v>46</v>
      </c>
      <c r="C277" s="1" t="s">
        <v>16</v>
      </c>
      <c r="D277" s="1" t="s">
        <v>49</v>
      </c>
      <c r="E277" s="1" t="s">
        <v>18</v>
      </c>
      <c r="F277" s="1">
        <v>108507</v>
      </c>
      <c r="G277" s="14">
        <v>2</v>
      </c>
      <c r="H277" s="1">
        <v>1</v>
      </c>
      <c r="I277" s="1">
        <v>4</v>
      </c>
      <c r="J277" s="1" t="s">
        <v>20</v>
      </c>
      <c r="K277" s="1">
        <v>11</v>
      </c>
      <c r="L277" s="1" t="s">
        <v>19</v>
      </c>
      <c r="M277" s="1" t="s">
        <v>30</v>
      </c>
      <c r="N277" s="1">
        <v>43</v>
      </c>
      <c r="O277" s="3" t="s">
        <v>36</v>
      </c>
    </row>
    <row r="278" spans="1:15" x14ac:dyDescent="0.25">
      <c r="A278" s="2" t="s">
        <v>315</v>
      </c>
      <c r="B278" s="1">
        <v>38</v>
      </c>
      <c r="C278" s="1" t="s">
        <v>28</v>
      </c>
      <c r="D278" s="1" t="s">
        <v>17</v>
      </c>
      <c r="E278" s="1" t="s">
        <v>38</v>
      </c>
      <c r="F278" s="1">
        <v>30873</v>
      </c>
      <c r="G278" s="14">
        <v>2</v>
      </c>
      <c r="H278" s="1">
        <v>2</v>
      </c>
      <c r="I278" s="1">
        <v>3</v>
      </c>
      <c r="J278" s="1" t="s">
        <v>20</v>
      </c>
      <c r="K278" s="1">
        <v>10</v>
      </c>
      <c r="L278" s="1" t="s">
        <v>20</v>
      </c>
      <c r="M278" s="1" t="s">
        <v>26</v>
      </c>
      <c r="N278" s="1">
        <v>58</v>
      </c>
      <c r="O278" s="3" t="s">
        <v>31</v>
      </c>
    </row>
    <row r="279" spans="1:15" x14ac:dyDescent="0.25">
      <c r="A279" s="2" t="s">
        <v>316</v>
      </c>
      <c r="B279" s="1">
        <v>26</v>
      </c>
      <c r="C279" s="1" t="s">
        <v>16</v>
      </c>
      <c r="D279" s="1" t="s">
        <v>49</v>
      </c>
      <c r="E279" s="1" t="s">
        <v>41</v>
      </c>
      <c r="F279" s="1">
        <v>71368</v>
      </c>
      <c r="G279" s="14">
        <v>4</v>
      </c>
      <c r="H279" s="1">
        <v>5</v>
      </c>
      <c r="I279" s="1">
        <v>3</v>
      </c>
      <c r="J279" s="1" t="s">
        <v>19</v>
      </c>
      <c r="K279" s="1">
        <v>16</v>
      </c>
      <c r="L279" s="1" t="s">
        <v>19</v>
      </c>
      <c r="M279" s="1" t="s">
        <v>21</v>
      </c>
      <c r="N279" s="1">
        <v>44</v>
      </c>
      <c r="O279" s="3" t="s">
        <v>31</v>
      </c>
    </row>
    <row r="280" spans="1:15" x14ac:dyDescent="0.25">
      <c r="A280" s="2" t="s">
        <v>317</v>
      </c>
      <c r="B280" s="1">
        <v>46</v>
      </c>
      <c r="C280" s="1" t="s">
        <v>16</v>
      </c>
      <c r="D280" s="1" t="s">
        <v>24</v>
      </c>
      <c r="E280" s="1" t="s">
        <v>25</v>
      </c>
      <c r="F280" s="1">
        <v>21794</v>
      </c>
      <c r="G280" s="14">
        <v>2</v>
      </c>
      <c r="H280" s="1">
        <v>2</v>
      </c>
      <c r="I280" s="1">
        <v>2</v>
      </c>
      <c r="J280" s="1" t="s">
        <v>19</v>
      </c>
      <c r="K280" s="1">
        <v>7</v>
      </c>
      <c r="L280" s="1" t="s">
        <v>19</v>
      </c>
      <c r="M280" s="1" t="s">
        <v>30</v>
      </c>
      <c r="N280" s="1">
        <v>11</v>
      </c>
      <c r="O280" s="3" t="s">
        <v>36</v>
      </c>
    </row>
    <row r="281" spans="1:15" x14ac:dyDescent="0.25">
      <c r="A281" s="2" t="s">
        <v>318</v>
      </c>
      <c r="B281" s="1">
        <v>33</v>
      </c>
      <c r="C281" s="1" t="s">
        <v>28</v>
      </c>
      <c r="D281" s="1" t="s">
        <v>29</v>
      </c>
      <c r="E281" s="1" t="s">
        <v>33</v>
      </c>
      <c r="F281" s="1">
        <v>84207</v>
      </c>
      <c r="G281" s="14">
        <v>4</v>
      </c>
      <c r="H281" s="1">
        <v>1</v>
      </c>
      <c r="I281" s="1">
        <v>1</v>
      </c>
      <c r="J281" s="1" t="s">
        <v>19</v>
      </c>
      <c r="K281" s="1">
        <v>11</v>
      </c>
      <c r="L281" s="1" t="s">
        <v>20</v>
      </c>
      <c r="M281" s="1" t="s">
        <v>26</v>
      </c>
      <c r="N281" s="1">
        <v>62</v>
      </c>
      <c r="O281" s="3" t="s">
        <v>44</v>
      </c>
    </row>
    <row r="282" spans="1:15" x14ac:dyDescent="0.25">
      <c r="A282" s="2" t="s">
        <v>319</v>
      </c>
      <c r="B282" s="1">
        <v>51</v>
      </c>
      <c r="C282" s="1" t="s">
        <v>28</v>
      </c>
      <c r="D282" s="1" t="s">
        <v>29</v>
      </c>
      <c r="E282" s="1" t="s">
        <v>41</v>
      </c>
      <c r="F282" s="1">
        <v>51903</v>
      </c>
      <c r="G282" s="14">
        <v>1</v>
      </c>
      <c r="H282" s="1">
        <v>3</v>
      </c>
      <c r="I282" s="1">
        <v>1</v>
      </c>
      <c r="J282" s="1" t="s">
        <v>20</v>
      </c>
      <c r="K282" s="1">
        <v>1</v>
      </c>
      <c r="L282" s="1" t="s">
        <v>19</v>
      </c>
      <c r="M282" s="1" t="s">
        <v>26</v>
      </c>
      <c r="N282" s="1">
        <v>32</v>
      </c>
      <c r="O282" s="3" t="s">
        <v>44</v>
      </c>
    </row>
    <row r="283" spans="1:15" x14ac:dyDescent="0.25">
      <c r="A283" s="2" t="s">
        <v>320</v>
      </c>
      <c r="B283" s="1">
        <v>35</v>
      </c>
      <c r="C283" s="1" t="s">
        <v>16</v>
      </c>
      <c r="D283" s="1" t="s">
        <v>29</v>
      </c>
      <c r="E283" s="1" t="s">
        <v>38</v>
      </c>
      <c r="F283" s="1">
        <v>71674</v>
      </c>
      <c r="G283" s="14">
        <v>5</v>
      </c>
      <c r="H283" s="1">
        <v>1</v>
      </c>
      <c r="I283" s="1">
        <v>1</v>
      </c>
      <c r="J283" s="1" t="s">
        <v>20</v>
      </c>
      <c r="K283" s="1">
        <v>4</v>
      </c>
      <c r="L283" s="1" t="s">
        <v>19</v>
      </c>
      <c r="M283" s="1" t="s">
        <v>26</v>
      </c>
      <c r="N283" s="1">
        <v>6</v>
      </c>
      <c r="O283" s="3" t="s">
        <v>44</v>
      </c>
    </row>
    <row r="284" spans="1:15" x14ac:dyDescent="0.25">
      <c r="A284" s="2" t="s">
        <v>321</v>
      </c>
      <c r="B284" s="1">
        <v>37</v>
      </c>
      <c r="C284" s="1" t="s">
        <v>28</v>
      </c>
      <c r="D284" s="1" t="s">
        <v>17</v>
      </c>
      <c r="E284" s="1" t="s">
        <v>38</v>
      </c>
      <c r="F284" s="1">
        <v>102245</v>
      </c>
      <c r="G284" s="14">
        <v>3</v>
      </c>
      <c r="H284" s="1">
        <v>4</v>
      </c>
      <c r="I284" s="1">
        <v>4</v>
      </c>
      <c r="J284" s="1" t="s">
        <v>20</v>
      </c>
      <c r="K284" s="1">
        <v>14</v>
      </c>
      <c r="L284" s="1" t="s">
        <v>20</v>
      </c>
      <c r="M284" s="1" t="s">
        <v>21</v>
      </c>
      <c r="N284" s="1">
        <v>64</v>
      </c>
      <c r="O284" s="3" t="s">
        <v>36</v>
      </c>
    </row>
    <row r="285" spans="1:15" x14ac:dyDescent="0.25">
      <c r="A285" s="2" t="s">
        <v>322</v>
      </c>
      <c r="B285" s="1">
        <v>39</v>
      </c>
      <c r="C285" s="1" t="s">
        <v>28</v>
      </c>
      <c r="D285" s="1" t="s">
        <v>24</v>
      </c>
      <c r="E285" s="1" t="s">
        <v>35</v>
      </c>
      <c r="F285" s="1">
        <v>18963</v>
      </c>
      <c r="G285" s="14">
        <v>5</v>
      </c>
      <c r="H285" s="1">
        <v>3</v>
      </c>
      <c r="I285" s="1">
        <v>5</v>
      </c>
      <c r="J285" s="1" t="s">
        <v>20</v>
      </c>
      <c r="K285" s="1">
        <v>9</v>
      </c>
      <c r="L285" s="1" t="s">
        <v>19</v>
      </c>
      <c r="M285" s="1" t="s">
        <v>30</v>
      </c>
      <c r="N285" s="1">
        <v>13</v>
      </c>
      <c r="O285" s="3" t="s">
        <v>36</v>
      </c>
    </row>
    <row r="286" spans="1:15" x14ac:dyDescent="0.25">
      <c r="A286" s="2" t="s">
        <v>323</v>
      </c>
      <c r="B286" s="1">
        <v>38</v>
      </c>
      <c r="C286" s="1" t="s">
        <v>28</v>
      </c>
      <c r="D286" s="1" t="s">
        <v>29</v>
      </c>
      <c r="E286" s="1" t="s">
        <v>18</v>
      </c>
      <c r="F286" s="1">
        <v>103998</v>
      </c>
      <c r="G286" s="14">
        <v>3</v>
      </c>
      <c r="H286" s="1">
        <v>2</v>
      </c>
      <c r="I286" s="1">
        <v>2</v>
      </c>
      <c r="J286" s="1" t="s">
        <v>19</v>
      </c>
      <c r="K286" s="1">
        <v>1</v>
      </c>
      <c r="L286" s="1" t="s">
        <v>20</v>
      </c>
      <c r="M286" s="1" t="s">
        <v>26</v>
      </c>
      <c r="N286" s="1">
        <v>45</v>
      </c>
      <c r="O286" s="3" t="s">
        <v>44</v>
      </c>
    </row>
    <row r="287" spans="1:15" x14ac:dyDescent="0.25">
      <c r="A287" s="2" t="s">
        <v>324</v>
      </c>
      <c r="B287" s="1">
        <v>22</v>
      </c>
      <c r="C287" s="1" t="s">
        <v>28</v>
      </c>
      <c r="D287" s="1" t="s">
        <v>29</v>
      </c>
      <c r="E287" s="1" t="s">
        <v>18</v>
      </c>
      <c r="F287" s="1">
        <v>72862</v>
      </c>
      <c r="G287" s="14">
        <v>4</v>
      </c>
      <c r="H287" s="1">
        <v>4</v>
      </c>
      <c r="I287" s="1">
        <v>1</v>
      </c>
      <c r="J287" s="1" t="s">
        <v>19</v>
      </c>
      <c r="K287" s="1">
        <v>10</v>
      </c>
      <c r="L287" s="1" t="s">
        <v>19</v>
      </c>
      <c r="M287" s="1" t="s">
        <v>26</v>
      </c>
      <c r="N287" s="1">
        <v>73</v>
      </c>
      <c r="O287" s="3" t="s">
        <v>42</v>
      </c>
    </row>
    <row r="288" spans="1:15" x14ac:dyDescent="0.25">
      <c r="A288" s="2" t="s">
        <v>325</v>
      </c>
      <c r="B288" s="1">
        <v>43</v>
      </c>
      <c r="C288" s="1" t="s">
        <v>28</v>
      </c>
      <c r="D288" s="1" t="s">
        <v>51</v>
      </c>
      <c r="E288" s="1" t="s">
        <v>38</v>
      </c>
      <c r="F288" s="1">
        <v>91170</v>
      </c>
      <c r="G288" s="14">
        <v>2</v>
      </c>
      <c r="H288" s="1">
        <v>3</v>
      </c>
      <c r="I288" s="1">
        <v>1</v>
      </c>
      <c r="J288" s="1" t="s">
        <v>20</v>
      </c>
      <c r="K288" s="1">
        <v>4</v>
      </c>
      <c r="L288" s="1" t="s">
        <v>20</v>
      </c>
      <c r="M288" s="1" t="s">
        <v>26</v>
      </c>
      <c r="N288" s="1">
        <v>76</v>
      </c>
      <c r="O288" s="3" t="s">
        <v>44</v>
      </c>
    </row>
    <row r="289" spans="1:15" x14ac:dyDescent="0.25">
      <c r="A289" s="2" t="s">
        <v>326</v>
      </c>
      <c r="B289" s="1">
        <v>42</v>
      </c>
      <c r="C289" s="1" t="s">
        <v>16</v>
      </c>
      <c r="D289" s="1" t="s">
        <v>51</v>
      </c>
      <c r="E289" s="1" t="s">
        <v>18</v>
      </c>
      <c r="F289" s="1">
        <v>47272</v>
      </c>
      <c r="G289" s="14">
        <v>3</v>
      </c>
      <c r="H289" s="1">
        <v>4</v>
      </c>
      <c r="I289" s="1">
        <v>3</v>
      </c>
      <c r="J289" s="1" t="s">
        <v>20</v>
      </c>
      <c r="K289" s="1">
        <v>8</v>
      </c>
      <c r="L289" s="1" t="s">
        <v>20</v>
      </c>
      <c r="M289" s="1" t="s">
        <v>30</v>
      </c>
      <c r="N289" s="1">
        <v>20</v>
      </c>
      <c r="O289" s="3" t="s">
        <v>42</v>
      </c>
    </row>
    <row r="290" spans="1:15" x14ac:dyDescent="0.25">
      <c r="A290" s="2" t="s">
        <v>327</v>
      </c>
      <c r="B290" s="1">
        <v>24</v>
      </c>
      <c r="C290" s="1" t="s">
        <v>16</v>
      </c>
      <c r="D290" s="1" t="s">
        <v>49</v>
      </c>
      <c r="E290" s="1" t="s">
        <v>41</v>
      </c>
      <c r="F290" s="1">
        <v>83598</v>
      </c>
      <c r="G290" s="14">
        <v>1</v>
      </c>
      <c r="H290" s="1">
        <v>4</v>
      </c>
      <c r="I290" s="1">
        <v>5</v>
      </c>
      <c r="J290" s="1" t="s">
        <v>20</v>
      </c>
      <c r="K290" s="1">
        <v>13</v>
      </c>
      <c r="L290" s="1" t="s">
        <v>19</v>
      </c>
      <c r="M290" s="1" t="s">
        <v>21</v>
      </c>
      <c r="N290" s="1">
        <v>22</v>
      </c>
      <c r="O290" s="3" t="s">
        <v>44</v>
      </c>
    </row>
    <row r="291" spans="1:15" x14ac:dyDescent="0.25">
      <c r="A291" s="2" t="s">
        <v>328</v>
      </c>
      <c r="B291" s="1">
        <v>42</v>
      </c>
      <c r="C291" s="1" t="s">
        <v>28</v>
      </c>
      <c r="D291" s="1" t="s">
        <v>24</v>
      </c>
      <c r="E291" s="1" t="s">
        <v>33</v>
      </c>
      <c r="F291" s="1">
        <v>36772</v>
      </c>
      <c r="G291" s="14">
        <v>3</v>
      </c>
      <c r="H291" s="1">
        <v>2</v>
      </c>
      <c r="I291" s="1">
        <v>1</v>
      </c>
      <c r="J291" s="1" t="s">
        <v>20</v>
      </c>
      <c r="K291" s="1">
        <v>10</v>
      </c>
      <c r="L291" s="1" t="s">
        <v>19</v>
      </c>
      <c r="M291" s="1" t="s">
        <v>30</v>
      </c>
      <c r="N291" s="1">
        <v>12</v>
      </c>
      <c r="O291" s="3" t="s">
        <v>22</v>
      </c>
    </row>
    <row r="292" spans="1:15" x14ac:dyDescent="0.25">
      <c r="A292" s="2" t="s">
        <v>329</v>
      </c>
      <c r="B292" s="1">
        <v>49</v>
      </c>
      <c r="C292" s="1" t="s">
        <v>28</v>
      </c>
      <c r="D292" s="1" t="s">
        <v>51</v>
      </c>
      <c r="E292" s="1" t="s">
        <v>41</v>
      </c>
      <c r="F292" s="1">
        <v>93534</v>
      </c>
      <c r="G292" s="14">
        <v>2</v>
      </c>
      <c r="H292" s="1">
        <v>4</v>
      </c>
      <c r="I292" s="1">
        <v>1</v>
      </c>
      <c r="J292" s="1" t="s">
        <v>19</v>
      </c>
      <c r="K292" s="1">
        <v>19</v>
      </c>
      <c r="L292" s="1" t="s">
        <v>20</v>
      </c>
      <c r="M292" s="1" t="s">
        <v>26</v>
      </c>
      <c r="N292" s="1">
        <v>59</v>
      </c>
      <c r="O292" s="3" t="s">
        <v>42</v>
      </c>
    </row>
    <row r="293" spans="1:15" x14ac:dyDescent="0.25">
      <c r="A293" s="2" t="s">
        <v>330</v>
      </c>
      <c r="B293" s="1">
        <v>48</v>
      </c>
      <c r="C293" s="1" t="s">
        <v>28</v>
      </c>
      <c r="D293" s="1" t="s">
        <v>49</v>
      </c>
      <c r="E293" s="1" t="s">
        <v>35</v>
      </c>
      <c r="F293" s="1">
        <v>22944</v>
      </c>
      <c r="G293" s="14">
        <v>3</v>
      </c>
      <c r="H293" s="1">
        <v>2</v>
      </c>
      <c r="I293" s="1">
        <v>3</v>
      </c>
      <c r="J293" s="1" t="s">
        <v>19</v>
      </c>
      <c r="K293" s="1">
        <v>10</v>
      </c>
      <c r="L293" s="1" t="s">
        <v>19</v>
      </c>
      <c r="M293" s="1" t="s">
        <v>21</v>
      </c>
      <c r="N293" s="1">
        <v>5</v>
      </c>
      <c r="O293" s="3" t="s">
        <v>44</v>
      </c>
    </row>
    <row r="294" spans="1:15" x14ac:dyDescent="0.25">
      <c r="A294" s="2" t="s">
        <v>331</v>
      </c>
      <c r="B294" s="1">
        <v>35</v>
      </c>
      <c r="C294" s="1" t="s">
        <v>28</v>
      </c>
      <c r="D294" s="1" t="s">
        <v>29</v>
      </c>
      <c r="E294" s="1" t="s">
        <v>41</v>
      </c>
      <c r="F294" s="1">
        <v>31462</v>
      </c>
      <c r="G294" s="14">
        <v>4</v>
      </c>
      <c r="H294" s="1">
        <v>5</v>
      </c>
      <c r="I294" s="1">
        <v>5</v>
      </c>
      <c r="J294" s="1" t="s">
        <v>20</v>
      </c>
      <c r="K294" s="1">
        <v>5</v>
      </c>
      <c r="L294" s="1" t="s">
        <v>19</v>
      </c>
      <c r="M294" s="1" t="s">
        <v>21</v>
      </c>
      <c r="N294" s="1">
        <v>43</v>
      </c>
      <c r="O294" s="3" t="s">
        <v>36</v>
      </c>
    </row>
    <row r="295" spans="1:15" x14ac:dyDescent="0.25">
      <c r="A295" s="2" t="s">
        <v>332</v>
      </c>
      <c r="B295" s="1">
        <v>50</v>
      </c>
      <c r="C295" s="1" t="s">
        <v>28</v>
      </c>
      <c r="D295" s="1" t="s">
        <v>49</v>
      </c>
      <c r="E295" s="1" t="s">
        <v>38</v>
      </c>
      <c r="F295" s="1">
        <v>35536</v>
      </c>
      <c r="G295" s="14">
        <v>3</v>
      </c>
      <c r="H295" s="1">
        <v>3</v>
      </c>
      <c r="I295" s="1">
        <v>3</v>
      </c>
      <c r="J295" s="1" t="s">
        <v>19</v>
      </c>
      <c r="K295" s="1">
        <v>5</v>
      </c>
      <c r="L295" s="1" t="s">
        <v>20</v>
      </c>
      <c r="M295" s="1" t="s">
        <v>21</v>
      </c>
      <c r="N295" s="1">
        <v>34</v>
      </c>
      <c r="O295" s="3" t="s">
        <v>44</v>
      </c>
    </row>
    <row r="296" spans="1:15" x14ac:dyDescent="0.25">
      <c r="A296" s="2" t="s">
        <v>333</v>
      </c>
      <c r="B296" s="1">
        <v>29</v>
      </c>
      <c r="C296" s="1" t="s">
        <v>16</v>
      </c>
      <c r="D296" s="1" t="s">
        <v>17</v>
      </c>
      <c r="E296" s="1" t="s">
        <v>35</v>
      </c>
      <c r="F296" s="1">
        <v>95292</v>
      </c>
      <c r="G296" s="14">
        <v>5</v>
      </c>
      <c r="H296" s="1">
        <v>2</v>
      </c>
      <c r="I296" s="1">
        <v>1</v>
      </c>
      <c r="J296" s="1" t="s">
        <v>20</v>
      </c>
      <c r="K296" s="1">
        <v>20</v>
      </c>
      <c r="L296" s="1" t="s">
        <v>19</v>
      </c>
      <c r="M296" s="1" t="s">
        <v>30</v>
      </c>
      <c r="N296" s="1">
        <v>37</v>
      </c>
      <c r="O296" s="3" t="s">
        <v>31</v>
      </c>
    </row>
    <row r="297" spans="1:15" x14ac:dyDescent="0.25">
      <c r="A297" s="2" t="s">
        <v>334</v>
      </c>
      <c r="B297" s="1">
        <v>39</v>
      </c>
      <c r="C297" s="1" t="s">
        <v>16</v>
      </c>
      <c r="D297" s="1" t="s">
        <v>17</v>
      </c>
      <c r="E297" s="1" t="s">
        <v>35</v>
      </c>
      <c r="F297" s="1">
        <v>103664</v>
      </c>
      <c r="G297" s="14">
        <v>1</v>
      </c>
      <c r="H297" s="1">
        <v>1</v>
      </c>
      <c r="I297" s="1">
        <v>1</v>
      </c>
      <c r="J297" s="1" t="s">
        <v>20</v>
      </c>
      <c r="K297" s="1">
        <v>14</v>
      </c>
      <c r="L297" s="1" t="s">
        <v>20</v>
      </c>
      <c r="M297" s="1" t="s">
        <v>21</v>
      </c>
      <c r="N297" s="1">
        <v>75</v>
      </c>
      <c r="O297" s="3" t="s">
        <v>36</v>
      </c>
    </row>
    <row r="298" spans="1:15" x14ac:dyDescent="0.25">
      <c r="A298" s="2" t="s">
        <v>335</v>
      </c>
      <c r="B298" s="1">
        <v>51</v>
      </c>
      <c r="C298" s="1" t="s">
        <v>16</v>
      </c>
      <c r="D298" s="1" t="s">
        <v>51</v>
      </c>
      <c r="E298" s="1" t="s">
        <v>38</v>
      </c>
      <c r="F298" s="1">
        <v>107881</v>
      </c>
      <c r="G298" s="14">
        <v>1</v>
      </c>
      <c r="H298" s="1">
        <v>3</v>
      </c>
      <c r="I298" s="1">
        <v>3</v>
      </c>
      <c r="J298" s="1" t="s">
        <v>19</v>
      </c>
      <c r="K298" s="1">
        <v>16</v>
      </c>
      <c r="L298" s="1" t="s">
        <v>20</v>
      </c>
      <c r="M298" s="1" t="s">
        <v>26</v>
      </c>
      <c r="N298" s="1">
        <v>22</v>
      </c>
      <c r="O298" s="3" t="s">
        <v>42</v>
      </c>
    </row>
    <row r="299" spans="1:15" x14ac:dyDescent="0.25">
      <c r="A299" s="2" t="s">
        <v>336</v>
      </c>
      <c r="B299" s="1">
        <v>27</v>
      </c>
      <c r="C299" s="1" t="s">
        <v>16</v>
      </c>
      <c r="D299" s="1" t="s">
        <v>29</v>
      </c>
      <c r="E299" s="1" t="s">
        <v>35</v>
      </c>
      <c r="F299" s="1">
        <v>31928</v>
      </c>
      <c r="G299" s="14">
        <v>4</v>
      </c>
      <c r="H299" s="1">
        <v>2</v>
      </c>
      <c r="I299" s="1">
        <v>5</v>
      </c>
      <c r="J299" s="1" t="s">
        <v>19</v>
      </c>
      <c r="K299" s="1">
        <v>8</v>
      </c>
      <c r="L299" s="1" t="s">
        <v>19</v>
      </c>
      <c r="M299" s="1" t="s">
        <v>30</v>
      </c>
      <c r="N299" s="1">
        <v>57</v>
      </c>
      <c r="O299" s="3" t="s">
        <v>36</v>
      </c>
    </row>
    <row r="300" spans="1:15" x14ac:dyDescent="0.25">
      <c r="A300" s="2" t="s">
        <v>337</v>
      </c>
      <c r="B300" s="1">
        <v>31</v>
      </c>
      <c r="C300" s="1" t="s">
        <v>16</v>
      </c>
      <c r="D300" s="1" t="s">
        <v>24</v>
      </c>
      <c r="E300" s="1" t="s">
        <v>33</v>
      </c>
      <c r="F300" s="1">
        <v>45222</v>
      </c>
      <c r="G300" s="14">
        <v>4</v>
      </c>
      <c r="H300" s="1">
        <v>3</v>
      </c>
      <c r="I300" s="1">
        <v>2</v>
      </c>
      <c r="J300" s="1" t="s">
        <v>19</v>
      </c>
      <c r="K300" s="1">
        <v>0</v>
      </c>
      <c r="L300" s="1" t="s">
        <v>19</v>
      </c>
      <c r="M300" s="1" t="s">
        <v>21</v>
      </c>
      <c r="N300" s="1">
        <v>78</v>
      </c>
      <c r="O300" s="3" t="s">
        <v>42</v>
      </c>
    </row>
    <row r="301" spans="1:15" x14ac:dyDescent="0.25">
      <c r="A301" s="2" t="s">
        <v>338</v>
      </c>
      <c r="B301" s="1">
        <v>30</v>
      </c>
      <c r="C301" s="1" t="s">
        <v>16</v>
      </c>
      <c r="D301" s="1" t="s">
        <v>24</v>
      </c>
      <c r="E301" s="1" t="s">
        <v>35</v>
      </c>
      <c r="F301" s="1">
        <v>112838</v>
      </c>
      <c r="G301" s="14">
        <v>1</v>
      </c>
      <c r="H301" s="1">
        <v>3</v>
      </c>
      <c r="I301" s="1">
        <v>2</v>
      </c>
      <c r="J301" s="1" t="s">
        <v>20</v>
      </c>
      <c r="K301" s="1">
        <v>9</v>
      </c>
      <c r="L301" s="1" t="s">
        <v>20</v>
      </c>
      <c r="M301" s="1" t="s">
        <v>30</v>
      </c>
      <c r="N301" s="1">
        <v>11</v>
      </c>
      <c r="O301" s="3" t="s">
        <v>22</v>
      </c>
    </row>
    <row r="302" spans="1:15" x14ac:dyDescent="0.25">
      <c r="A302" s="2" t="s">
        <v>339</v>
      </c>
      <c r="B302" s="1">
        <v>32</v>
      </c>
      <c r="C302" s="1" t="s">
        <v>16</v>
      </c>
      <c r="D302" s="1" t="s">
        <v>29</v>
      </c>
      <c r="E302" s="1" t="s">
        <v>18</v>
      </c>
      <c r="F302" s="1">
        <v>106705</v>
      </c>
      <c r="G302" s="14">
        <v>3</v>
      </c>
      <c r="H302" s="1">
        <v>4</v>
      </c>
      <c r="I302" s="1">
        <v>1</v>
      </c>
      <c r="J302" s="1" t="s">
        <v>19</v>
      </c>
      <c r="K302" s="1">
        <v>1</v>
      </c>
      <c r="L302" s="1" t="s">
        <v>19</v>
      </c>
      <c r="M302" s="1" t="s">
        <v>21</v>
      </c>
      <c r="N302" s="1">
        <v>26</v>
      </c>
      <c r="O302" s="3" t="s">
        <v>36</v>
      </c>
    </row>
    <row r="303" spans="1:15" x14ac:dyDescent="0.25">
      <c r="A303" s="2" t="s">
        <v>340</v>
      </c>
      <c r="B303" s="1">
        <v>43</v>
      </c>
      <c r="C303" s="1" t="s">
        <v>28</v>
      </c>
      <c r="D303" s="1" t="s">
        <v>24</v>
      </c>
      <c r="E303" s="1" t="s">
        <v>18</v>
      </c>
      <c r="F303" s="1">
        <v>114084</v>
      </c>
      <c r="G303" s="14">
        <v>1</v>
      </c>
      <c r="H303" s="1">
        <v>3</v>
      </c>
      <c r="I303" s="1">
        <v>3</v>
      </c>
      <c r="J303" s="1" t="s">
        <v>19</v>
      </c>
      <c r="K303" s="1">
        <v>3</v>
      </c>
      <c r="L303" s="1" t="s">
        <v>20</v>
      </c>
      <c r="M303" s="1" t="s">
        <v>30</v>
      </c>
      <c r="N303" s="1">
        <v>63</v>
      </c>
      <c r="O303" s="3" t="s">
        <v>36</v>
      </c>
    </row>
    <row r="304" spans="1:15" x14ac:dyDescent="0.25">
      <c r="A304" s="2" t="s">
        <v>341</v>
      </c>
      <c r="B304" s="1">
        <v>39</v>
      </c>
      <c r="C304" s="1" t="s">
        <v>28</v>
      </c>
      <c r="D304" s="1" t="s">
        <v>49</v>
      </c>
      <c r="E304" s="1" t="s">
        <v>38</v>
      </c>
      <c r="F304" s="1">
        <v>39860</v>
      </c>
      <c r="G304" s="14">
        <v>1</v>
      </c>
      <c r="H304" s="1">
        <v>2</v>
      </c>
      <c r="I304" s="1">
        <v>3</v>
      </c>
      <c r="J304" s="1" t="s">
        <v>19</v>
      </c>
      <c r="K304" s="1">
        <v>3</v>
      </c>
      <c r="L304" s="1" t="s">
        <v>20</v>
      </c>
      <c r="M304" s="1" t="s">
        <v>26</v>
      </c>
      <c r="N304" s="1">
        <v>66</v>
      </c>
      <c r="O304" s="3" t="s">
        <v>31</v>
      </c>
    </row>
    <row r="305" spans="1:15" x14ac:dyDescent="0.25">
      <c r="A305" s="2" t="s">
        <v>342</v>
      </c>
      <c r="B305" s="1">
        <v>49</v>
      </c>
      <c r="C305" s="1" t="s">
        <v>16</v>
      </c>
      <c r="D305" s="1" t="s">
        <v>24</v>
      </c>
      <c r="E305" s="1" t="s">
        <v>33</v>
      </c>
      <c r="F305" s="1">
        <v>65002</v>
      </c>
      <c r="G305" s="14">
        <v>5</v>
      </c>
      <c r="H305" s="1">
        <v>1</v>
      </c>
      <c r="I305" s="1">
        <v>2</v>
      </c>
      <c r="J305" s="1" t="s">
        <v>20</v>
      </c>
      <c r="K305" s="1">
        <v>15</v>
      </c>
      <c r="L305" s="1" t="s">
        <v>19</v>
      </c>
      <c r="M305" s="1" t="s">
        <v>30</v>
      </c>
      <c r="N305" s="1">
        <v>61</v>
      </c>
      <c r="O305" s="3" t="s">
        <v>22</v>
      </c>
    </row>
    <row r="306" spans="1:15" x14ac:dyDescent="0.25">
      <c r="A306" s="2" t="s">
        <v>343</v>
      </c>
      <c r="B306" s="1">
        <v>25</v>
      </c>
      <c r="C306" s="1" t="s">
        <v>28</v>
      </c>
      <c r="D306" s="1" t="s">
        <v>17</v>
      </c>
      <c r="E306" s="1" t="s">
        <v>18</v>
      </c>
      <c r="F306" s="1">
        <v>19620</v>
      </c>
      <c r="G306" s="14">
        <v>5</v>
      </c>
      <c r="H306" s="1">
        <v>5</v>
      </c>
      <c r="I306" s="1">
        <v>5</v>
      </c>
      <c r="J306" s="1" t="s">
        <v>19</v>
      </c>
      <c r="K306" s="1">
        <v>10</v>
      </c>
      <c r="L306" s="1" t="s">
        <v>19</v>
      </c>
      <c r="M306" s="1" t="s">
        <v>30</v>
      </c>
      <c r="N306" s="1">
        <v>36</v>
      </c>
      <c r="O306" s="3" t="s">
        <v>42</v>
      </c>
    </row>
    <row r="307" spans="1:15" x14ac:dyDescent="0.25">
      <c r="A307" s="2" t="s">
        <v>344</v>
      </c>
      <c r="B307" s="1">
        <v>43</v>
      </c>
      <c r="C307" s="1" t="s">
        <v>28</v>
      </c>
      <c r="D307" s="1" t="s">
        <v>51</v>
      </c>
      <c r="E307" s="1" t="s">
        <v>25</v>
      </c>
      <c r="F307" s="1">
        <v>98335</v>
      </c>
      <c r="G307" s="14">
        <v>1</v>
      </c>
      <c r="H307" s="1">
        <v>1</v>
      </c>
      <c r="I307" s="1">
        <v>2</v>
      </c>
      <c r="J307" s="1" t="s">
        <v>20</v>
      </c>
      <c r="K307" s="1">
        <v>15</v>
      </c>
      <c r="L307" s="1" t="s">
        <v>19</v>
      </c>
      <c r="M307" s="1" t="s">
        <v>21</v>
      </c>
      <c r="N307" s="1">
        <v>67</v>
      </c>
      <c r="O307" s="3" t="s">
        <v>36</v>
      </c>
    </row>
    <row r="308" spans="1:15" x14ac:dyDescent="0.25">
      <c r="A308" s="2" t="s">
        <v>345</v>
      </c>
      <c r="B308" s="1">
        <v>36</v>
      </c>
      <c r="C308" s="1" t="s">
        <v>28</v>
      </c>
      <c r="D308" s="1" t="s">
        <v>29</v>
      </c>
      <c r="E308" s="1" t="s">
        <v>35</v>
      </c>
      <c r="F308" s="1">
        <v>84444</v>
      </c>
      <c r="G308" s="14">
        <v>2</v>
      </c>
      <c r="H308" s="1">
        <v>5</v>
      </c>
      <c r="I308" s="1">
        <v>4</v>
      </c>
      <c r="J308" s="1" t="s">
        <v>20</v>
      </c>
      <c r="K308" s="1">
        <v>7</v>
      </c>
      <c r="L308" s="1" t="s">
        <v>19</v>
      </c>
      <c r="M308" s="1" t="s">
        <v>30</v>
      </c>
      <c r="N308" s="1">
        <v>61</v>
      </c>
      <c r="O308" s="3" t="s">
        <v>31</v>
      </c>
    </row>
    <row r="309" spans="1:15" x14ac:dyDescent="0.25">
      <c r="A309" s="2" t="s">
        <v>346</v>
      </c>
      <c r="B309" s="1">
        <v>49</v>
      </c>
      <c r="C309" s="1" t="s">
        <v>16</v>
      </c>
      <c r="D309" s="1" t="s">
        <v>49</v>
      </c>
      <c r="E309" s="1" t="s">
        <v>33</v>
      </c>
      <c r="F309" s="1">
        <v>59426</v>
      </c>
      <c r="G309" s="14">
        <v>1</v>
      </c>
      <c r="H309" s="1">
        <v>4</v>
      </c>
      <c r="I309" s="1">
        <v>1</v>
      </c>
      <c r="J309" s="1" t="s">
        <v>19</v>
      </c>
      <c r="K309" s="1">
        <v>12</v>
      </c>
      <c r="L309" s="1" t="s">
        <v>20</v>
      </c>
      <c r="M309" s="1" t="s">
        <v>21</v>
      </c>
      <c r="N309" s="1">
        <v>76</v>
      </c>
      <c r="O309" s="3" t="s">
        <v>31</v>
      </c>
    </row>
    <row r="310" spans="1:15" x14ac:dyDescent="0.25">
      <c r="A310" s="2" t="s">
        <v>347</v>
      </c>
      <c r="B310" s="1">
        <v>21</v>
      </c>
      <c r="C310" s="1" t="s">
        <v>16</v>
      </c>
      <c r="D310" s="1" t="s">
        <v>24</v>
      </c>
      <c r="E310" s="1" t="s">
        <v>25</v>
      </c>
      <c r="F310" s="1">
        <v>101563</v>
      </c>
      <c r="G310" s="14">
        <v>3</v>
      </c>
      <c r="H310" s="1">
        <v>5</v>
      </c>
      <c r="I310" s="1">
        <v>5</v>
      </c>
      <c r="J310" s="1" t="s">
        <v>19</v>
      </c>
      <c r="K310" s="1">
        <v>20</v>
      </c>
      <c r="L310" s="1" t="s">
        <v>20</v>
      </c>
      <c r="M310" s="1" t="s">
        <v>30</v>
      </c>
      <c r="N310" s="1">
        <v>51</v>
      </c>
      <c r="O310" s="3" t="s">
        <v>22</v>
      </c>
    </row>
    <row r="311" spans="1:15" x14ac:dyDescent="0.25">
      <c r="A311" s="2" t="s">
        <v>348</v>
      </c>
      <c r="B311" s="1">
        <v>35</v>
      </c>
      <c r="C311" s="1" t="s">
        <v>28</v>
      </c>
      <c r="D311" s="1" t="s">
        <v>29</v>
      </c>
      <c r="E311" s="1" t="s">
        <v>25</v>
      </c>
      <c r="F311" s="1">
        <v>118586</v>
      </c>
      <c r="G311" s="14">
        <v>3</v>
      </c>
      <c r="H311" s="1">
        <v>5</v>
      </c>
      <c r="I311" s="1">
        <v>4</v>
      </c>
      <c r="J311" s="1" t="s">
        <v>20</v>
      </c>
      <c r="K311" s="1">
        <v>14</v>
      </c>
      <c r="L311" s="1" t="s">
        <v>19</v>
      </c>
      <c r="M311" s="1" t="s">
        <v>21</v>
      </c>
      <c r="N311" s="1">
        <v>33</v>
      </c>
      <c r="O311" s="3" t="s">
        <v>22</v>
      </c>
    </row>
    <row r="312" spans="1:15" x14ac:dyDescent="0.25">
      <c r="A312" s="2" t="s">
        <v>349</v>
      </c>
      <c r="B312" s="1">
        <v>42</v>
      </c>
      <c r="C312" s="1" t="s">
        <v>28</v>
      </c>
      <c r="D312" s="1" t="s">
        <v>17</v>
      </c>
      <c r="E312" s="1" t="s">
        <v>18</v>
      </c>
      <c r="F312" s="1">
        <v>89786</v>
      </c>
      <c r="G312" s="14">
        <v>5</v>
      </c>
      <c r="H312" s="1">
        <v>3</v>
      </c>
      <c r="I312" s="1">
        <v>1</v>
      </c>
      <c r="J312" s="1" t="s">
        <v>19</v>
      </c>
      <c r="K312" s="1">
        <v>5</v>
      </c>
      <c r="L312" s="1" t="s">
        <v>20</v>
      </c>
      <c r="M312" s="1" t="s">
        <v>21</v>
      </c>
      <c r="N312" s="1">
        <v>57</v>
      </c>
      <c r="O312" s="3" t="s">
        <v>22</v>
      </c>
    </row>
    <row r="313" spans="1:15" x14ac:dyDescent="0.25">
      <c r="A313" s="2" t="s">
        <v>350</v>
      </c>
      <c r="B313" s="1">
        <v>37</v>
      </c>
      <c r="C313" s="1" t="s">
        <v>16</v>
      </c>
      <c r="D313" s="1" t="s">
        <v>51</v>
      </c>
      <c r="E313" s="1" t="s">
        <v>35</v>
      </c>
      <c r="F313" s="1">
        <v>69497</v>
      </c>
      <c r="G313" s="14">
        <v>2</v>
      </c>
      <c r="H313" s="1">
        <v>4</v>
      </c>
      <c r="I313" s="1">
        <v>2</v>
      </c>
      <c r="J313" s="1" t="s">
        <v>20</v>
      </c>
      <c r="K313" s="1">
        <v>3</v>
      </c>
      <c r="L313" s="1" t="s">
        <v>20</v>
      </c>
      <c r="M313" s="1" t="s">
        <v>21</v>
      </c>
      <c r="N313" s="1">
        <v>80</v>
      </c>
      <c r="O313" s="3" t="s">
        <v>22</v>
      </c>
    </row>
    <row r="314" spans="1:15" x14ac:dyDescent="0.25">
      <c r="A314" s="2" t="s">
        <v>351</v>
      </c>
      <c r="B314" s="1">
        <v>49</v>
      </c>
      <c r="C314" s="1" t="s">
        <v>28</v>
      </c>
      <c r="D314" s="1" t="s">
        <v>17</v>
      </c>
      <c r="E314" s="1" t="s">
        <v>25</v>
      </c>
      <c r="F314" s="1">
        <v>68925</v>
      </c>
      <c r="G314" s="14">
        <v>2</v>
      </c>
      <c r="H314" s="1">
        <v>4</v>
      </c>
      <c r="I314" s="1">
        <v>1</v>
      </c>
      <c r="J314" s="1" t="s">
        <v>19</v>
      </c>
      <c r="K314" s="1">
        <v>17</v>
      </c>
      <c r="L314" s="1" t="s">
        <v>20</v>
      </c>
      <c r="M314" s="1" t="s">
        <v>26</v>
      </c>
      <c r="N314" s="1">
        <v>66</v>
      </c>
      <c r="O314" s="3" t="s">
        <v>31</v>
      </c>
    </row>
    <row r="315" spans="1:15" x14ac:dyDescent="0.25">
      <c r="A315" s="2" t="s">
        <v>352</v>
      </c>
      <c r="B315" s="1">
        <v>39</v>
      </c>
      <c r="C315" s="1" t="s">
        <v>16</v>
      </c>
      <c r="D315" s="1" t="s">
        <v>17</v>
      </c>
      <c r="E315" s="1" t="s">
        <v>41</v>
      </c>
      <c r="F315" s="1">
        <v>31573</v>
      </c>
      <c r="G315" s="14">
        <v>4</v>
      </c>
      <c r="H315" s="1">
        <v>5</v>
      </c>
      <c r="I315" s="1">
        <v>5</v>
      </c>
      <c r="J315" s="1" t="s">
        <v>20</v>
      </c>
      <c r="K315" s="1">
        <v>16</v>
      </c>
      <c r="L315" s="1" t="s">
        <v>20</v>
      </c>
      <c r="M315" s="1" t="s">
        <v>30</v>
      </c>
      <c r="N315" s="1">
        <v>36</v>
      </c>
      <c r="O315" s="3" t="s">
        <v>36</v>
      </c>
    </row>
    <row r="316" spans="1:15" x14ac:dyDescent="0.25">
      <c r="A316" s="2" t="s">
        <v>353</v>
      </c>
      <c r="B316" s="1">
        <v>46</v>
      </c>
      <c r="C316" s="1" t="s">
        <v>28</v>
      </c>
      <c r="D316" s="1" t="s">
        <v>29</v>
      </c>
      <c r="E316" s="1" t="s">
        <v>33</v>
      </c>
      <c r="F316" s="1">
        <v>35481</v>
      </c>
      <c r="G316" s="14">
        <v>2</v>
      </c>
      <c r="H316" s="1">
        <v>4</v>
      </c>
      <c r="I316" s="1">
        <v>5</v>
      </c>
      <c r="J316" s="1" t="s">
        <v>20</v>
      </c>
      <c r="K316" s="1">
        <v>17</v>
      </c>
      <c r="L316" s="1" t="s">
        <v>20</v>
      </c>
      <c r="M316" s="1" t="s">
        <v>26</v>
      </c>
      <c r="N316" s="1">
        <v>75</v>
      </c>
      <c r="O316" s="3" t="s">
        <v>44</v>
      </c>
    </row>
    <row r="317" spans="1:15" x14ac:dyDescent="0.25">
      <c r="A317" s="2" t="s">
        <v>354</v>
      </c>
      <c r="B317" s="1">
        <v>33</v>
      </c>
      <c r="C317" s="1" t="s">
        <v>16</v>
      </c>
      <c r="D317" s="1" t="s">
        <v>24</v>
      </c>
      <c r="E317" s="1" t="s">
        <v>38</v>
      </c>
      <c r="F317" s="1">
        <v>56086</v>
      </c>
      <c r="G317" s="14">
        <v>3</v>
      </c>
      <c r="H317" s="1">
        <v>2</v>
      </c>
      <c r="I317" s="1">
        <v>2</v>
      </c>
      <c r="J317" s="1" t="s">
        <v>20</v>
      </c>
      <c r="K317" s="1">
        <v>3</v>
      </c>
      <c r="L317" s="1" t="s">
        <v>20</v>
      </c>
      <c r="M317" s="1" t="s">
        <v>26</v>
      </c>
      <c r="N317" s="1">
        <v>66</v>
      </c>
      <c r="O317" s="3" t="s">
        <v>31</v>
      </c>
    </row>
    <row r="318" spans="1:15" x14ac:dyDescent="0.25">
      <c r="A318" s="2" t="s">
        <v>355</v>
      </c>
      <c r="B318" s="1">
        <v>57</v>
      </c>
      <c r="C318" s="1" t="s">
        <v>28</v>
      </c>
      <c r="D318" s="1" t="s">
        <v>17</v>
      </c>
      <c r="E318" s="1" t="s">
        <v>38</v>
      </c>
      <c r="F318" s="1">
        <v>87979</v>
      </c>
      <c r="G318" s="14">
        <v>3</v>
      </c>
      <c r="H318" s="1">
        <v>4</v>
      </c>
      <c r="I318" s="1">
        <v>1</v>
      </c>
      <c r="J318" s="1" t="s">
        <v>19</v>
      </c>
      <c r="K318" s="1">
        <v>0</v>
      </c>
      <c r="L318" s="1" t="s">
        <v>20</v>
      </c>
      <c r="M318" s="1" t="s">
        <v>21</v>
      </c>
      <c r="N318" s="1">
        <v>11</v>
      </c>
      <c r="O318" s="3" t="s">
        <v>22</v>
      </c>
    </row>
    <row r="319" spans="1:15" x14ac:dyDescent="0.25">
      <c r="A319" s="2" t="s">
        <v>356</v>
      </c>
      <c r="B319" s="1">
        <v>33</v>
      </c>
      <c r="C319" s="1" t="s">
        <v>28</v>
      </c>
      <c r="D319" s="1" t="s">
        <v>51</v>
      </c>
      <c r="E319" s="1" t="s">
        <v>18</v>
      </c>
      <c r="F319" s="1">
        <v>107573</v>
      </c>
      <c r="G319" s="14">
        <v>3</v>
      </c>
      <c r="H319" s="1">
        <v>2</v>
      </c>
      <c r="I319" s="1">
        <v>1</v>
      </c>
      <c r="J319" s="1" t="s">
        <v>20</v>
      </c>
      <c r="K319" s="1">
        <v>6</v>
      </c>
      <c r="L319" s="1" t="s">
        <v>19</v>
      </c>
      <c r="M319" s="1" t="s">
        <v>30</v>
      </c>
      <c r="N319" s="1">
        <v>62</v>
      </c>
      <c r="O319" s="3" t="s">
        <v>22</v>
      </c>
    </row>
    <row r="320" spans="1:15" x14ac:dyDescent="0.25">
      <c r="A320" s="2" t="s">
        <v>357</v>
      </c>
      <c r="B320" s="1">
        <v>56</v>
      </c>
      <c r="C320" s="1" t="s">
        <v>16</v>
      </c>
      <c r="D320" s="1" t="s">
        <v>17</v>
      </c>
      <c r="E320" s="1" t="s">
        <v>38</v>
      </c>
      <c r="F320" s="1">
        <v>91566</v>
      </c>
      <c r="G320" s="14">
        <v>4</v>
      </c>
      <c r="H320" s="1">
        <v>2</v>
      </c>
      <c r="I320" s="1">
        <v>5</v>
      </c>
      <c r="J320" s="1" t="s">
        <v>20</v>
      </c>
      <c r="K320" s="1">
        <v>1</v>
      </c>
      <c r="L320" s="1" t="s">
        <v>20</v>
      </c>
      <c r="M320" s="1" t="s">
        <v>30</v>
      </c>
      <c r="N320" s="1">
        <v>58</v>
      </c>
      <c r="O320" s="3" t="s">
        <v>36</v>
      </c>
    </row>
    <row r="321" spans="1:15" x14ac:dyDescent="0.25">
      <c r="A321" s="2" t="s">
        <v>358</v>
      </c>
      <c r="B321" s="1">
        <v>56</v>
      </c>
      <c r="C321" s="1" t="s">
        <v>16</v>
      </c>
      <c r="D321" s="1" t="s">
        <v>40</v>
      </c>
      <c r="E321" s="1" t="s">
        <v>38</v>
      </c>
      <c r="F321" s="1">
        <v>50943</v>
      </c>
      <c r="G321" s="14">
        <v>2</v>
      </c>
      <c r="H321" s="1">
        <v>5</v>
      </c>
      <c r="I321" s="1">
        <v>4</v>
      </c>
      <c r="J321" s="1" t="s">
        <v>19</v>
      </c>
      <c r="K321" s="1">
        <v>20</v>
      </c>
      <c r="L321" s="1" t="s">
        <v>20</v>
      </c>
      <c r="M321" s="1" t="s">
        <v>26</v>
      </c>
      <c r="N321" s="1">
        <v>74</v>
      </c>
      <c r="O321" s="3" t="s">
        <v>31</v>
      </c>
    </row>
    <row r="322" spans="1:15" x14ac:dyDescent="0.25">
      <c r="A322" s="2" t="s">
        <v>359</v>
      </c>
      <c r="B322" s="1">
        <v>33</v>
      </c>
      <c r="C322" s="1" t="s">
        <v>16</v>
      </c>
      <c r="D322" s="1" t="s">
        <v>29</v>
      </c>
      <c r="E322" s="1" t="s">
        <v>33</v>
      </c>
      <c r="F322" s="1">
        <v>41255</v>
      </c>
      <c r="G322" s="14">
        <v>1</v>
      </c>
      <c r="H322" s="1">
        <v>2</v>
      </c>
      <c r="I322" s="1">
        <v>2</v>
      </c>
      <c r="J322" s="1" t="s">
        <v>19</v>
      </c>
      <c r="K322" s="1">
        <v>12</v>
      </c>
      <c r="L322" s="1" t="s">
        <v>19</v>
      </c>
      <c r="M322" s="1" t="s">
        <v>30</v>
      </c>
      <c r="N322" s="1">
        <v>40</v>
      </c>
      <c r="O322" s="3" t="s">
        <v>31</v>
      </c>
    </row>
    <row r="323" spans="1:15" x14ac:dyDescent="0.25">
      <c r="A323" s="2" t="s">
        <v>360</v>
      </c>
      <c r="B323" s="1">
        <v>37</v>
      </c>
      <c r="C323" s="1" t="s">
        <v>16</v>
      </c>
      <c r="D323" s="1" t="s">
        <v>51</v>
      </c>
      <c r="E323" s="1" t="s">
        <v>25</v>
      </c>
      <c r="F323" s="1">
        <v>51425</v>
      </c>
      <c r="G323" s="14">
        <v>1</v>
      </c>
      <c r="H323" s="1">
        <v>3</v>
      </c>
      <c r="I323" s="1">
        <v>4</v>
      </c>
      <c r="J323" s="1" t="s">
        <v>19</v>
      </c>
      <c r="K323" s="1">
        <v>1</v>
      </c>
      <c r="L323" s="1" t="s">
        <v>19</v>
      </c>
      <c r="M323" s="1" t="s">
        <v>30</v>
      </c>
      <c r="N323" s="1">
        <v>11</v>
      </c>
      <c r="O323" s="3" t="s">
        <v>31</v>
      </c>
    </row>
    <row r="324" spans="1:15" x14ac:dyDescent="0.25">
      <c r="A324" s="2" t="s">
        <v>361</v>
      </c>
      <c r="B324" s="1">
        <v>40</v>
      </c>
      <c r="C324" s="1" t="s">
        <v>28</v>
      </c>
      <c r="D324" s="1" t="s">
        <v>24</v>
      </c>
      <c r="E324" s="1" t="s">
        <v>25</v>
      </c>
      <c r="F324" s="1">
        <v>64934</v>
      </c>
      <c r="G324" s="14">
        <v>1</v>
      </c>
      <c r="H324" s="1">
        <v>3</v>
      </c>
      <c r="I324" s="1">
        <v>5</v>
      </c>
      <c r="J324" s="1" t="s">
        <v>19</v>
      </c>
      <c r="K324" s="1">
        <v>5</v>
      </c>
      <c r="L324" s="1" t="s">
        <v>19</v>
      </c>
      <c r="M324" s="1" t="s">
        <v>26</v>
      </c>
      <c r="N324" s="1">
        <v>25</v>
      </c>
      <c r="O324" s="3" t="s">
        <v>42</v>
      </c>
    </row>
    <row r="325" spans="1:15" x14ac:dyDescent="0.25">
      <c r="A325" s="2" t="s">
        <v>362</v>
      </c>
      <c r="B325" s="1">
        <v>55</v>
      </c>
      <c r="C325" s="1" t="s">
        <v>28</v>
      </c>
      <c r="D325" s="1" t="s">
        <v>40</v>
      </c>
      <c r="E325" s="1" t="s">
        <v>18</v>
      </c>
      <c r="F325" s="1">
        <v>68925</v>
      </c>
      <c r="G325" s="14">
        <v>2</v>
      </c>
      <c r="H325" s="1">
        <v>3</v>
      </c>
      <c r="I325" s="1">
        <v>3</v>
      </c>
      <c r="J325" s="1" t="s">
        <v>20</v>
      </c>
      <c r="K325" s="1">
        <v>9</v>
      </c>
      <c r="L325" s="1" t="s">
        <v>19</v>
      </c>
      <c r="M325" s="1" t="s">
        <v>26</v>
      </c>
      <c r="N325" s="1">
        <v>72</v>
      </c>
      <c r="O325" s="3" t="s">
        <v>42</v>
      </c>
    </row>
    <row r="326" spans="1:15" x14ac:dyDescent="0.25">
      <c r="A326" s="2" t="s">
        <v>363</v>
      </c>
      <c r="B326" s="1">
        <v>56</v>
      </c>
      <c r="C326" s="1" t="s">
        <v>16</v>
      </c>
      <c r="D326" s="1" t="s">
        <v>40</v>
      </c>
      <c r="E326" s="1" t="s">
        <v>38</v>
      </c>
      <c r="F326" s="1">
        <v>63351</v>
      </c>
      <c r="G326" s="14">
        <v>4</v>
      </c>
      <c r="H326" s="1">
        <v>2</v>
      </c>
      <c r="I326" s="1">
        <v>5</v>
      </c>
      <c r="J326" s="1" t="s">
        <v>19</v>
      </c>
      <c r="K326" s="1">
        <v>1</v>
      </c>
      <c r="L326" s="1" t="s">
        <v>20</v>
      </c>
      <c r="M326" s="1" t="s">
        <v>30</v>
      </c>
      <c r="N326" s="1">
        <v>19</v>
      </c>
      <c r="O326" s="3" t="s">
        <v>42</v>
      </c>
    </row>
    <row r="327" spans="1:15" x14ac:dyDescent="0.25">
      <c r="A327" s="2" t="s">
        <v>364</v>
      </c>
      <c r="B327" s="1">
        <v>37</v>
      </c>
      <c r="C327" s="1" t="s">
        <v>28</v>
      </c>
      <c r="D327" s="1" t="s">
        <v>40</v>
      </c>
      <c r="E327" s="1" t="s">
        <v>25</v>
      </c>
      <c r="F327" s="1">
        <v>118990</v>
      </c>
      <c r="G327" s="14">
        <v>3</v>
      </c>
      <c r="H327" s="1">
        <v>5</v>
      </c>
      <c r="I327" s="1">
        <v>5</v>
      </c>
      <c r="J327" s="1" t="s">
        <v>20</v>
      </c>
      <c r="K327" s="1">
        <v>15</v>
      </c>
      <c r="L327" s="1" t="s">
        <v>19</v>
      </c>
      <c r="M327" s="1" t="s">
        <v>30</v>
      </c>
      <c r="N327" s="1">
        <v>29</v>
      </c>
      <c r="O327" s="3" t="s">
        <v>36</v>
      </c>
    </row>
    <row r="328" spans="1:15" x14ac:dyDescent="0.25">
      <c r="A328" s="2" t="s">
        <v>365</v>
      </c>
      <c r="B328" s="1">
        <v>39</v>
      </c>
      <c r="C328" s="1" t="s">
        <v>16</v>
      </c>
      <c r="D328" s="1" t="s">
        <v>40</v>
      </c>
      <c r="E328" s="1" t="s">
        <v>41</v>
      </c>
      <c r="F328" s="1">
        <v>119360</v>
      </c>
      <c r="G328" s="14">
        <v>5</v>
      </c>
      <c r="H328" s="1">
        <v>5</v>
      </c>
      <c r="I328" s="1">
        <v>1</v>
      </c>
      <c r="J328" s="1" t="s">
        <v>19</v>
      </c>
      <c r="K328" s="1">
        <v>6</v>
      </c>
      <c r="L328" s="1" t="s">
        <v>19</v>
      </c>
      <c r="M328" s="1" t="s">
        <v>26</v>
      </c>
      <c r="N328" s="1">
        <v>59</v>
      </c>
      <c r="O328" s="3" t="s">
        <v>22</v>
      </c>
    </row>
    <row r="329" spans="1:15" x14ac:dyDescent="0.25">
      <c r="A329" s="2" t="s">
        <v>366</v>
      </c>
      <c r="B329" s="1">
        <v>34</v>
      </c>
      <c r="C329" s="1" t="s">
        <v>28</v>
      </c>
      <c r="D329" s="1" t="s">
        <v>17</v>
      </c>
      <c r="E329" s="1" t="s">
        <v>35</v>
      </c>
      <c r="F329" s="1">
        <v>115896</v>
      </c>
      <c r="G329" s="14">
        <v>2</v>
      </c>
      <c r="H329" s="1">
        <v>1</v>
      </c>
      <c r="I329" s="1">
        <v>4</v>
      </c>
      <c r="J329" s="1" t="s">
        <v>20</v>
      </c>
      <c r="K329" s="1">
        <v>1</v>
      </c>
      <c r="L329" s="1" t="s">
        <v>19</v>
      </c>
      <c r="M329" s="1" t="s">
        <v>21</v>
      </c>
      <c r="N329" s="1">
        <v>11</v>
      </c>
      <c r="O329" s="3" t="s">
        <v>44</v>
      </c>
    </row>
    <row r="330" spans="1:15" x14ac:dyDescent="0.25">
      <c r="A330" s="2" t="s">
        <v>367</v>
      </c>
      <c r="B330" s="1">
        <v>37</v>
      </c>
      <c r="C330" s="1" t="s">
        <v>16</v>
      </c>
      <c r="D330" s="1" t="s">
        <v>24</v>
      </c>
      <c r="E330" s="1" t="s">
        <v>41</v>
      </c>
      <c r="F330" s="1">
        <v>51901</v>
      </c>
      <c r="G330" s="14">
        <v>4</v>
      </c>
      <c r="H330" s="1">
        <v>4</v>
      </c>
      <c r="I330" s="1">
        <v>4</v>
      </c>
      <c r="J330" s="1" t="s">
        <v>20</v>
      </c>
      <c r="K330" s="1">
        <v>13</v>
      </c>
      <c r="L330" s="1" t="s">
        <v>20</v>
      </c>
      <c r="M330" s="1" t="s">
        <v>21</v>
      </c>
      <c r="N330" s="1">
        <v>54</v>
      </c>
      <c r="O330" s="3" t="s">
        <v>22</v>
      </c>
    </row>
    <row r="331" spans="1:15" x14ac:dyDescent="0.25">
      <c r="A331" s="2" t="s">
        <v>368</v>
      </c>
      <c r="B331" s="1">
        <v>55</v>
      </c>
      <c r="C331" s="1" t="s">
        <v>16</v>
      </c>
      <c r="D331" s="1" t="s">
        <v>17</v>
      </c>
      <c r="E331" s="1" t="s">
        <v>38</v>
      </c>
      <c r="F331" s="1">
        <v>99048</v>
      </c>
      <c r="G331" s="14">
        <v>1</v>
      </c>
      <c r="H331" s="1">
        <v>5</v>
      </c>
      <c r="I331" s="1">
        <v>1</v>
      </c>
      <c r="J331" s="1" t="s">
        <v>19</v>
      </c>
      <c r="K331" s="1">
        <v>11</v>
      </c>
      <c r="L331" s="1" t="s">
        <v>19</v>
      </c>
      <c r="M331" s="1" t="s">
        <v>30</v>
      </c>
      <c r="N331" s="1">
        <v>43</v>
      </c>
      <c r="O331" s="3" t="s">
        <v>31</v>
      </c>
    </row>
    <row r="332" spans="1:15" x14ac:dyDescent="0.25">
      <c r="A332" s="2" t="s">
        <v>369</v>
      </c>
      <c r="B332" s="1">
        <v>26</v>
      </c>
      <c r="C332" s="1" t="s">
        <v>28</v>
      </c>
      <c r="D332" s="1" t="s">
        <v>49</v>
      </c>
      <c r="E332" s="1" t="s">
        <v>33</v>
      </c>
      <c r="F332" s="1">
        <v>69788</v>
      </c>
      <c r="G332" s="14">
        <v>1</v>
      </c>
      <c r="H332" s="1">
        <v>4</v>
      </c>
      <c r="I332" s="1">
        <v>2</v>
      </c>
      <c r="J332" s="1" t="s">
        <v>19</v>
      </c>
      <c r="K332" s="1">
        <v>4</v>
      </c>
      <c r="L332" s="1" t="s">
        <v>20</v>
      </c>
      <c r="M332" s="1" t="s">
        <v>26</v>
      </c>
      <c r="N332" s="1">
        <v>42</v>
      </c>
      <c r="O332" s="3" t="s">
        <v>44</v>
      </c>
    </row>
    <row r="333" spans="1:15" x14ac:dyDescent="0.25">
      <c r="A333" s="2" t="s">
        <v>370</v>
      </c>
      <c r="B333" s="1">
        <v>40</v>
      </c>
      <c r="C333" s="1" t="s">
        <v>28</v>
      </c>
      <c r="D333" s="1" t="s">
        <v>40</v>
      </c>
      <c r="E333" s="1" t="s">
        <v>25</v>
      </c>
      <c r="F333" s="1">
        <v>90754</v>
      </c>
      <c r="G333" s="14">
        <v>2</v>
      </c>
      <c r="H333" s="1">
        <v>1</v>
      </c>
      <c r="I333" s="1">
        <v>1</v>
      </c>
      <c r="J333" s="1" t="s">
        <v>19</v>
      </c>
      <c r="K333" s="1">
        <v>18</v>
      </c>
      <c r="L333" s="1" t="s">
        <v>20</v>
      </c>
      <c r="M333" s="1" t="s">
        <v>26</v>
      </c>
      <c r="N333" s="1">
        <v>75</v>
      </c>
      <c r="O333" s="3" t="s">
        <v>22</v>
      </c>
    </row>
    <row r="334" spans="1:15" x14ac:dyDescent="0.25">
      <c r="A334" s="2" t="s">
        <v>371</v>
      </c>
      <c r="B334" s="1">
        <v>40</v>
      </c>
      <c r="C334" s="1" t="s">
        <v>16</v>
      </c>
      <c r="D334" s="1" t="s">
        <v>17</v>
      </c>
      <c r="E334" s="1" t="s">
        <v>38</v>
      </c>
      <c r="F334" s="1">
        <v>113150</v>
      </c>
      <c r="G334" s="14">
        <v>3</v>
      </c>
      <c r="H334" s="1">
        <v>2</v>
      </c>
      <c r="I334" s="1">
        <v>4</v>
      </c>
      <c r="J334" s="1" t="s">
        <v>19</v>
      </c>
      <c r="K334" s="1">
        <v>5</v>
      </c>
      <c r="L334" s="1" t="s">
        <v>19</v>
      </c>
      <c r="M334" s="1" t="s">
        <v>21</v>
      </c>
      <c r="N334" s="1">
        <v>37</v>
      </c>
      <c r="O334" s="3" t="s">
        <v>44</v>
      </c>
    </row>
    <row r="335" spans="1:15" x14ac:dyDescent="0.25">
      <c r="A335" s="2" t="s">
        <v>372</v>
      </c>
      <c r="B335" s="1">
        <v>28</v>
      </c>
      <c r="C335" s="1" t="s">
        <v>16</v>
      </c>
      <c r="D335" s="1" t="s">
        <v>17</v>
      </c>
      <c r="E335" s="1" t="s">
        <v>25</v>
      </c>
      <c r="F335" s="1">
        <v>25128</v>
      </c>
      <c r="G335" s="14">
        <v>5</v>
      </c>
      <c r="H335" s="1">
        <v>4</v>
      </c>
      <c r="I335" s="1">
        <v>5</v>
      </c>
      <c r="J335" s="1" t="s">
        <v>19</v>
      </c>
      <c r="K335" s="1">
        <v>9</v>
      </c>
      <c r="L335" s="1" t="s">
        <v>19</v>
      </c>
      <c r="M335" s="1" t="s">
        <v>30</v>
      </c>
      <c r="N335" s="1">
        <v>17</v>
      </c>
      <c r="O335" s="3" t="s">
        <v>44</v>
      </c>
    </row>
    <row r="336" spans="1:15" x14ac:dyDescent="0.25">
      <c r="A336" s="2" t="s">
        <v>373</v>
      </c>
      <c r="B336" s="1">
        <v>58</v>
      </c>
      <c r="C336" s="1" t="s">
        <v>28</v>
      </c>
      <c r="D336" s="1" t="s">
        <v>29</v>
      </c>
      <c r="E336" s="1" t="s">
        <v>18</v>
      </c>
      <c r="F336" s="1">
        <v>34805</v>
      </c>
      <c r="G336" s="14">
        <v>2</v>
      </c>
      <c r="H336" s="1">
        <v>1</v>
      </c>
      <c r="I336" s="1">
        <v>3</v>
      </c>
      <c r="J336" s="1" t="s">
        <v>19</v>
      </c>
      <c r="K336" s="1">
        <v>6</v>
      </c>
      <c r="L336" s="1" t="s">
        <v>20</v>
      </c>
      <c r="M336" s="1" t="s">
        <v>30</v>
      </c>
      <c r="N336" s="1">
        <v>62</v>
      </c>
      <c r="O336" s="3" t="s">
        <v>36</v>
      </c>
    </row>
    <row r="337" spans="1:15" x14ac:dyDescent="0.25">
      <c r="A337" s="2" t="s">
        <v>374</v>
      </c>
      <c r="B337" s="1">
        <v>40</v>
      </c>
      <c r="C337" s="1" t="s">
        <v>16</v>
      </c>
      <c r="D337" s="1" t="s">
        <v>24</v>
      </c>
      <c r="E337" s="1" t="s">
        <v>25</v>
      </c>
      <c r="F337" s="1">
        <v>65774</v>
      </c>
      <c r="G337" s="14">
        <v>3</v>
      </c>
      <c r="H337" s="1">
        <v>4</v>
      </c>
      <c r="I337" s="1">
        <v>2</v>
      </c>
      <c r="J337" s="1" t="s">
        <v>19</v>
      </c>
      <c r="K337" s="1">
        <v>10</v>
      </c>
      <c r="L337" s="1" t="s">
        <v>19</v>
      </c>
      <c r="M337" s="1" t="s">
        <v>21</v>
      </c>
      <c r="N337" s="1">
        <v>60</v>
      </c>
      <c r="O337" s="3" t="s">
        <v>36</v>
      </c>
    </row>
    <row r="338" spans="1:15" x14ac:dyDescent="0.25">
      <c r="A338" s="2" t="s">
        <v>375</v>
      </c>
      <c r="B338" s="1">
        <v>44</v>
      </c>
      <c r="C338" s="1" t="s">
        <v>16</v>
      </c>
      <c r="D338" s="1" t="s">
        <v>17</v>
      </c>
      <c r="E338" s="1" t="s">
        <v>38</v>
      </c>
      <c r="F338" s="1">
        <v>61458</v>
      </c>
      <c r="G338" s="14">
        <v>4</v>
      </c>
      <c r="H338" s="1">
        <v>4</v>
      </c>
      <c r="I338" s="1">
        <v>4</v>
      </c>
      <c r="J338" s="1" t="s">
        <v>20</v>
      </c>
      <c r="K338" s="1">
        <v>9</v>
      </c>
      <c r="L338" s="1" t="s">
        <v>20</v>
      </c>
      <c r="M338" s="1" t="s">
        <v>26</v>
      </c>
      <c r="N338" s="1">
        <v>18</v>
      </c>
      <c r="O338" s="3" t="s">
        <v>44</v>
      </c>
    </row>
    <row r="339" spans="1:15" x14ac:dyDescent="0.25">
      <c r="A339" s="2" t="s">
        <v>376</v>
      </c>
      <c r="B339" s="1">
        <v>26</v>
      </c>
      <c r="C339" s="1" t="s">
        <v>28</v>
      </c>
      <c r="D339" s="1" t="s">
        <v>51</v>
      </c>
      <c r="E339" s="1" t="s">
        <v>25</v>
      </c>
      <c r="F339" s="1">
        <v>43746</v>
      </c>
      <c r="G339" s="14">
        <v>3</v>
      </c>
      <c r="H339" s="1">
        <v>1</v>
      </c>
      <c r="I339" s="1">
        <v>1</v>
      </c>
      <c r="J339" s="1" t="s">
        <v>19</v>
      </c>
      <c r="K339" s="1">
        <v>16</v>
      </c>
      <c r="L339" s="1" t="s">
        <v>19</v>
      </c>
      <c r="M339" s="1" t="s">
        <v>26</v>
      </c>
      <c r="N339" s="1">
        <v>79</v>
      </c>
      <c r="O339" s="3" t="s">
        <v>42</v>
      </c>
    </row>
    <row r="340" spans="1:15" x14ac:dyDescent="0.25">
      <c r="A340" s="2" t="s">
        <v>377</v>
      </c>
      <c r="B340" s="1">
        <v>58</v>
      </c>
      <c r="C340" s="1" t="s">
        <v>16</v>
      </c>
      <c r="D340" s="1" t="s">
        <v>40</v>
      </c>
      <c r="E340" s="1" t="s">
        <v>25</v>
      </c>
      <c r="F340" s="1">
        <v>52159</v>
      </c>
      <c r="G340" s="14">
        <v>5</v>
      </c>
      <c r="H340" s="1">
        <v>5</v>
      </c>
      <c r="I340" s="1">
        <v>4</v>
      </c>
      <c r="J340" s="1" t="s">
        <v>19</v>
      </c>
      <c r="K340" s="1">
        <v>11</v>
      </c>
      <c r="L340" s="1" t="s">
        <v>20</v>
      </c>
      <c r="M340" s="1" t="s">
        <v>21</v>
      </c>
      <c r="N340" s="1">
        <v>80</v>
      </c>
      <c r="O340" s="3" t="s">
        <v>36</v>
      </c>
    </row>
    <row r="341" spans="1:15" x14ac:dyDescent="0.25">
      <c r="A341" s="2" t="s">
        <v>378</v>
      </c>
      <c r="B341" s="1">
        <v>29</v>
      </c>
      <c r="C341" s="1" t="s">
        <v>28</v>
      </c>
      <c r="D341" s="1" t="s">
        <v>24</v>
      </c>
      <c r="E341" s="1" t="s">
        <v>25</v>
      </c>
      <c r="F341" s="1">
        <v>29869</v>
      </c>
      <c r="G341" s="14">
        <v>4</v>
      </c>
      <c r="H341" s="1">
        <v>3</v>
      </c>
      <c r="I341" s="1">
        <v>5</v>
      </c>
      <c r="J341" s="1" t="s">
        <v>19</v>
      </c>
      <c r="K341" s="1">
        <v>7</v>
      </c>
      <c r="L341" s="1" t="s">
        <v>19</v>
      </c>
      <c r="M341" s="1" t="s">
        <v>26</v>
      </c>
      <c r="N341" s="1">
        <v>22</v>
      </c>
      <c r="O341" s="3" t="s">
        <v>42</v>
      </c>
    </row>
    <row r="342" spans="1:15" x14ac:dyDescent="0.25">
      <c r="A342" s="2" t="s">
        <v>379</v>
      </c>
      <c r="B342" s="1">
        <v>31</v>
      </c>
      <c r="C342" s="1" t="s">
        <v>16</v>
      </c>
      <c r="D342" s="1" t="s">
        <v>24</v>
      </c>
      <c r="E342" s="1" t="s">
        <v>25</v>
      </c>
      <c r="F342" s="1">
        <v>104430</v>
      </c>
      <c r="G342" s="14">
        <v>2</v>
      </c>
      <c r="H342" s="1">
        <v>4</v>
      </c>
      <c r="I342" s="1">
        <v>3</v>
      </c>
      <c r="J342" s="1" t="s">
        <v>19</v>
      </c>
      <c r="K342" s="1">
        <v>7</v>
      </c>
      <c r="L342" s="1" t="s">
        <v>20</v>
      </c>
      <c r="M342" s="1" t="s">
        <v>21</v>
      </c>
      <c r="N342" s="1">
        <v>13</v>
      </c>
      <c r="O342" s="3" t="s">
        <v>36</v>
      </c>
    </row>
    <row r="343" spans="1:15" x14ac:dyDescent="0.25">
      <c r="A343" s="2" t="s">
        <v>380</v>
      </c>
      <c r="B343" s="1">
        <v>44</v>
      </c>
      <c r="C343" s="1" t="s">
        <v>16</v>
      </c>
      <c r="D343" s="1" t="s">
        <v>40</v>
      </c>
      <c r="E343" s="1" t="s">
        <v>38</v>
      </c>
      <c r="F343" s="1">
        <v>45102</v>
      </c>
      <c r="G343" s="14">
        <v>5</v>
      </c>
      <c r="H343" s="1">
        <v>3</v>
      </c>
      <c r="I343" s="1">
        <v>4</v>
      </c>
      <c r="J343" s="1" t="s">
        <v>20</v>
      </c>
      <c r="K343" s="1">
        <v>14</v>
      </c>
      <c r="L343" s="1" t="s">
        <v>19</v>
      </c>
      <c r="M343" s="1" t="s">
        <v>21</v>
      </c>
      <c r="N343" s="1">
        <v>46</v>
      </c>
      <c r="O343" s="3" t="s">
        <v>22</v>
      </c>
    </row>
    <row r="344" spans="1:15" x14ac:dyDescent="0.25">
      <c r="A344" s="2" t="s">
        <v>381</v>
      </c>
      <c r="B344" s="1">
        <v>54</v>
      </c>
      <c r="C344" s="1" t="s">
        <v>28</v>
      </c>
      <c r="D344" s="1" t="s">
        <v>17</v>
      </c>
      <c r="E344" s="1" t="s">
        <v>18</v>
      </c>
      <c r="F344" s="1">
        <v>93842</v>
      </c>
      <c r="G344" s="14">
        <v>5</v>
      </c>
      <c r="H344" s="1">
        <v>5</v>
      </c>
      <c r="I344" s="1">
        <v>2</v>
      </c>
      <c r="J344" s="1" t="s">
        <v>20</v>
      </c>
      <c r="K344" s="1">
        <v>20</v>
      </c>
      <c r="L344" s="1" t="s">
        <v>20</v>
      </c>
      <c r="M344" s="1" t="s">
        <v>30</v>
      </c>
      <c r="N344" s="1">
        <v>80</v>
      </c>
      <c r="O344" s="3" t="s">
        <v>22</v>
      </c>
    </row>
    <row r="345" spans="1:15" x14ac:dyDescent="0.25">
      <c r="A345" s="2" t="s">
        <v>382</v>
      </c>
      <c r="B345" s="1">
        <v>54</v>
      </c>
      <c r="C345" s="1" t="s">
        <v>28</v>
      </c>
      <c r="D345" s="1" t="s">
        <v>49</v>
      </c>
      <c r="E345" s="1" t="s">
        <v>41</v>
      </c>
      <c r="F345" s="1">
        <v>85681</v>
      </c>
      <c r="G345" s="14">
        <v>4</v>
      </c>
      <c r="H345" s="1">
        <v>3</v>
      </c>
      <c r="I345" s="1">
        <v>3</v>
      </c>
      <c r="J345" s="1" t="s">
        <v>20</v>
      </c>
      <c r="K345" s="1">
        <v>15</v>
      </c>
      <c r="L345" s="1" t="s">
        <v>19</v>
      </c>
      <c r="M345" s="1" t="s">
        <v>26</v>
      </c>
      <c r="N345" s="1">
        <v>22</v>
      </c>
      <c r="O345" s="3" t="s">
        <v>42</v>
      </c>
    </row>
    <row r="346" spans="1:15" x14ac:dyDescent="0.25">
      <c r="A346" s="2" t="s">
        <v>383</v>
      </c>
      <c r="B346" s="1">
        <v>31</v>
      </c>
      <c r="C346" s="1" t="s">
        <v>16</v>
      </c>
      <c r="D346" s="1" t="s">
        <v>40</v>
      </c>
      <c r="E346" s="1" t="s">
        <v>25</v>
      </c>
      <c r="F346" s="1">
        <v>102341</v>
      </c>
      <c r="G346" s="14">
        <v>3</v>
      </c>
      <c r="H346" s="1">
        <v>2</v>
      </c>
      <c r="I346" s="1">
        <v>2</v>
      </c>
      <c r="J346" s="1" t="s">
        <v>19</v>
      </c>
      <c r="K346" s="1">
        <v>5</v>
      </c>
      <c r="L346" s="1" t="s">
        <v>20</v>
      </c>
      <c r="M346" s="1" t="s">
        <v>26</v>
      </c>
      <c r="N346" s="1">
        <v>20</v>
      </c>
      <c r="O346" s="3" t="s">
        <v>44</v>
      </c>
    </row>
    <row r="347" spans="1:15" x14ac:dyDescent="0.25">
      <c r="A347" s="2" t="s">
        <v>384</v>
      </c>
      <c r="B347" s="1">
        <v>47</v>
      </c>
      <c r="C347" s="1" t="s">
        <v>28</v>
      </c>
      <c r="D347" s="1" t="s">
        <v>17</v>
      </c>
      <c r="E347" s="1" t="s">
        <v>35</v>
      </c>
      <c r="F347" s="1">
        <v>81113</v>
      </c>
      <c r="G347" s="14">
        <v>4</v>
      </c>
      <c r="H347" s="1">
        <v>4</v>
      </c>
      <c r="I347" s="1">
        <v>2</v>
      </c>
      <c r="J347" s="1" t="s">
        <v>19</v>
      </c>
      <c r="K347" s="1">
        <v>20</v>
      </c>
      <c r="L347" s="1" t="s">
        <v>20</v>
      </c>
      <c r="M347" s="1" t="s">
        <v>21</v>
      </c>
      <c r="N347" s="1">
        <v>36</v>
      </c>
      <c r="O347" s="3" t="s">
        <v>22</v>
      </c>
    </row>
    <row r="348" spans="1:15" x14ac:dyDescent="0.25">
      <c r="A348" s="2" t="s">
        <v>385</v>
      </c>
      <c r="B348" s="1">
        <v>29</v>
      </c>
      <c r="C348" s="1" t="s">
        <v>16</v>
      </c>
      <c r="D348" s="1" t="s">
        <v>51</v>
      </c>
      <c r="E348" s="1" t="s">
        <v>38</v>
      </c>
      <c r="F348" s="1">
        <v>85193</v>
      </c>
      <c r="G348" s="14">
        <v>1</v>
      </c>
      <c r="H348" s="1">
        <v>5</v>
      </c>
      <c r="I348" s="1">
        <v>2</v>
      </c>
      <c r="J348" s="1" t="s">
        <v>19</v>
      </c>
      <c r="K348" s="1">
        <v>5</v>
      </c>
      <c r="L348" s="1" t="s">
        <v>20</v>
      </c>
      <c r="M348" s="1" t="s">
        <v>21</v>
      </c>
      <c r="N348" s="1">
        <v>71</v>
      </c>
      <c r="O348" s="3" t="s">
        <v>42</v>
      </c>
    </row>
    <row r="349" spans="1:15" x14ac:dyDescent="0.25">
      <c r="A349" s="2" t="s">
        <v>386</v>
      </c>
      <c r="B349" s="1">
        <v>57</v>
      </c>
      <c r="C349" s="1" t="s">
        <v>16</v>
      </c>
      <c r="D349" s="1" t="s">
        <v>17</v>
      </c>
      <c r="E349" s="1" t="s">
        <v>38</v>
      </c>
      <c r="F349" s="1">
        <v>104736</v>
      </c>
      <c r="G349" s="14">
        <v>3</v>
      </c>
      <c r="H349" s="1">
        <v>1</v>
      </c>
      <c r="I349" s="1">
        <v>2</v>
      </c>
      <c r="J349" s="1" t="s">
        <v>20</v>
      </c>
      <c r="K349" s="1">
        <v>19</v>
      </c>
      <c r="L349" s="1" t="s">
        <v>20</v>
      </c>
      <c r="M349" s="1" t="s">
        <v>30</v>
      </c>
      <c r="N349" s="1">
        <v>26</v>
      </c>
      <c r="O349" s="3" t="s">
        <v>44</v>
      </c>
    </row>
    <row r="350" spans="1:15" x14ac:dyDescent="0.25">
      <c r="A350" s="2" t="s">
        <v>387</v>
      </c>
      <c r="B350" s="1">
        <v>47</v>
      </c>
      <c r="C350" s="1" t="s">
        <v>16</v>
      </c>
      <c r="D350" s="1" t="s">
        <v>24</v>
      </c>
      <c r="E350" s="1" t="s">
        <v>41</v>
      </c>
      <c r="F350" s="1">
        <v>99685</v>
      </c>
      <c r="G350" s="14">
        <v>5</v>
      </c>
      <c r="H350" s="1">
        <v>3</v>
      </c>
      <c r="I350" s="1">
        <v>2</v>
      </c>
      <c r="J350" s="1" t="s">
        <v>20</v>
      </c>
      <c r="K350" s="1">
        <v>14</v>
      </c>
      <c r="L350" s="1" t="s">
        <v>19</v>
      </c>
      <c r="M350" s="1" t="s">
        <v>21</v>
      </c>
      <c r="N350" s="1">
        <v>53</v>
      </c>
      <c r="O350" s="3" t="s">
        <v>42</v>
      </c>
    </row>
    <row r="351" spans="1:15" x14ac:dyDescent="0.25">
      <c r="A351" s="2" t="s">
        <v>388</v>
      </c>
      <c r="B351" s="1">
        <v>29</v>
      </c>
      <c r="C351" s="1" t="s">
        <v>16</v>
      </c>
      <c r="D351" s="1" t="s">
        <v>40</v>
      </c>
      <c r="E351" s="1" t="s">
        <v>41</v>
      </c>
      <c r="F351" s="1">
        <v>86512</v>
      </c>
      <c r="G351" s="14">
        <v>5</v>
      </c>
      <c r="H351" s="1">
        <v>4</v>
      </c>
      <c r="I351" s="1">
        <v>2</v>
      </c>
      <c r="J351" s="1" t="s">
        <v>19</v>
      </c>
      <c r="K351" s="1">
        <v>5</v>
      </c>
      <c r="L351" s="1" t="s">
        <v>20</v>
      </c>
      <c r="M351" s="1" t="s">
        <v>26</v>
      </c>
      <c r="N351" s="1">
        <v>9</v>
      </c>
      <c r="O351" s="3" t="s">
        <v>31</v>
      </c>
    </row>
    <row r="352" spans="1:15" x14ac:dyDescent="0.25">
      <c r="A352" s="2" t="s">
        <v>389</v>
      </c>
      <c r="B352" s="1">
        <v>53</v>
      </c>
      <c r="C352" s="1" t="s">
        <v>16</v>
      </c>
      <c r="D352" s="1" t="s">
        <v>40</v>
      </c>
      <c r="E352" s="1" t="s">
        <v>33</v>
      </c>
      <c r="F352" s="1">
        <v>104427</v>
      </c>
      <c r="G352" s="14">
        <v>2</v>
      </c>
      <c r="H352" s="1">
        <v>5</v>
      </c>
      <c r="I352" s="1">
        <v>5</v>
      </c>
      <c r="J352" s="1" t="s">
        <v>19</v>
      </c>
      <c r="K352" s="1">
        <v>20</v>
      </c>
      <c r="L352" s="1" t="s">
        <v>20</v>
      </c>
      <c r="M352" s="1" t="s">
        <v>26</v>
      </c>
      <c r="N352" s="1">
        <v>58</v>
      </c>
      <c r="O352" s="3" t="s">
        <v>36</v>
      </c>
    </row>
    <row r="353" spans="1:15" x14ac:dyDescent="0.25">
      <c r="A353" s="2" t="s">
        <v>390</v>
      </c>
      <c r="B353" s="1">
        <v>23</v>
      </c>
      <c r="C353" s="1" t="s">
        <v>28</v>
      </c>
      <c r="D353" s="1" t="s">
        <v>51</v>
      </c>
      <c r="E353" s="1" t="s">
        <v>33</v>
      </c>
      <c r="F353" s="1">
        <v>118751</v>
      </c>
      <c r="G353" s="14">
        <v>4</v>
      </c>
      <c r="H353" s="1">
        <v>3</v>
      </c>
      <c r="I353" s="1">
        <v>5</v>
      </c>
      <c r="J353" s="1" t="s">
        <v>19</v>
      </c>
      <c r="K353" s="1">
        <v>13</v>
      </c>
      <c r="L353" s="1" t="s">
        <v>19</v>
      </c>
      <c r="M353" s="1" t="s">
        <v>30</v>
      </c>
      <c r="N353" s="1">
        <v>66</v>
      </c>
      <c r="O353" s="3" t="s">
        <v>44</v>
      </c>
    </row>
    <row r="354" spans="1:15" x14ac:dyDescent="0.25">
      <c r="A354" s="2" t="s">
        <v>391</v>
      </c>
      <c r="B354" s="1">
        <v>26</v>
      </c>
      <c r="C354" s="1" t="s">
        <v>28</v>
      </c>
      <c r="D354" s="1" t="s">
        <v>24</v>
      </c>
      <c r="E354" s="1" t="s">
        <v>25</v>
      </c>
      <c r="F354" s="1">
        <v>71562</v>
      </c>
      <c r="G354" s="14">
        <v>3</v>
      </c>
      <c r="H354" s="1">
        <v>2</v>
      </c>
      <c r="I354" s="1">
        <v>1</v>
      </c>
      <c r="J354" s="1" t="s">
        <v>19</v>
      </c>
      <c r="K354" s="1">
        <v>18</v>
      </c>
      <c r="L354" s="1" t="s">
        <v>19</v>
      </c>
      <c r="M354" s="1" t="s">
        <v>26</v>
      </c>
      <c r="N354" s="1">
        <v>5</v>
      </c>
      <c r="O354" s="3" t="s">
        <v>42</v>
      </c>
    </row>
    <row r="355" spans="1:15" x14ac:dyDescent="0.25">
      <c r="A355" s="2" t="s">
        <v>392</v>
      </c>
      <c r="B355" s="1">
        <v>34</v>
      </c>
      <c r="C355" s="1" t="s">
        <v>28</v>
      </c>
      <c r="D355" s="1" t="s">
        <v>49</v>
      </c>
      <c r="E355" s="1" t="s">
        <v>18</v>
      </c>
      <c r="F355" s="1">
        <v>31970</v>
      </c>
      <c r="G355" s="14">
        <v>2</v>
      </c>
      <c r="H355" s="1">
        <v>4</v>
      </c>
      <c r="I355" s="1">
        <v>5</v>
      </c>
      <c r="J355" s="1" t="s">
        <v>20</v>
      </c>
      <c r="K355" s="1">
        <v>8</v>
      </c>
      <c r="L355" s="1" t="s">
        <v>20</v>
      </c>
      <c r="M355" s="1" t="s">
        <v>26</v>
      </c>
      <c r="N355" s="1">
        <v>51</v>
      </c>
      <c r="O355" s="3" t="s">
        <v>31</v>
      </c>
    </row>
    <row r="356" spans="1:15" x14ac:dyDescent="0.25">
      <c r="A356" s="2" t="s">
        <v>393</v>
      </c>
      <c r="B356" s="1">
        <v>38</v>
      </c>
      <c r="C356" s="1" t="s">
        <v>28</v>
      </c>
      <c r="D356" s="1" t="s">
        <v>51</v>
      </c>
      <c r="E356" s="1" t="s">
        <v>33</v>
      </c>
      <c r="F356" s="1">
        <v>90365</v>
      </c>
      <c r="G356" s="14">
        <v>3</v>
      </c>
      <c r="H356" s="1">
        <v>4</v>
      </c>
      <c r="I356" s="1">
        <v>2</v>
      </c>
      <c r="J356" s="1" t="s">
        <v>20</v>
      </c>
      <c r="K356" s="1">
        <v>17</v>
      </c>
      <c r="L356" s="1" t="s">
        <v>20</v>
      </c>
      <c r="M356" s="1" t="s">
        <v>30</v>
      </c>
      <c r="N356" s="1">
        <v>44</v>
      </c>
      <c r="O356" s="3" t="s">
        <v>31</v>
      </c>
    </row>
    <row r="357" spans="1:15" x14ac:dyDescent="0.25">
      <c r="A357" s="2" t="s">
        <v>394</v>
      </c>
      <c r="B357" s="1">
        <v>43</v>
      </c>
      <c r="C357" s="1" t="s">
        <v>28</v>
      </c>
      <c r="D357" s="1" t="s">
        <v>17</v>
      </c>
      <c r="E357" s="1" t="s">
        <v>41</v>
      </c>
      <c r="F357" s="1">
        <v>104413</v>
      </c>
      <c r="G357" s="14">
        <v>1</v>
      </c>
      <c r="H357" s="1">
        <v>2</v>
      </c>
      <c r="I357" s="1">
        <v>4</v>
      </c>
      <c r="J357" s="1" t="s">
        <v>19</v>
      </c>
      <c r="K357" s="1">
        <v>3</v>
      </c>
      <c r="L357" s="1" t="s">
        <v>19</v>
      </c>
      <c r="M357" s="1" t="s">
        <v>26</v>
      </c>
      <c r="N357" s="1">
        <v>56</v>
      </c>
      <c r="O357" s="3" t="s">
        <v>36</v>
      </c>
    </row>
    <row r="358" spans="1:15" x14ac:dyDescent="0.25">
      <c r="A358" s="2" t="s">
        <v>395</v>
      </c>
      <c r="B358" s="1">
        <v>56</v>
      </c>
      <c r="C358" s="1" t="s">
        <v>16</v>
      </c>
      <c r="D358" s="1" t="s">
        <v>51</v>
      </c>
      <c r="E358" s="1" t="s">
        <v>33</v>
      </c>
      <c r="F358" s="1">
        <v>101345</v>
      </c>
      <c r="G358" s="14">
        <v>1</v>
      </c>
      <c r="H358" s="1">
        <v>3</v>
      </c>
      <c r="I358" s="1">
        <v>2</v>
      </c>
      <c r="J358" s="1" t="s">
        <v>20</v>
      </c>
      <c r="K358" s="1">
        <v>19</v>
      </c>
      <c r="L358" s="1" t="s">
        <v>20</v>
      </c>
      <c r="M358" s="1" t="s">
        <v>21</v>
      </c>
      <c r="N358" s="1">
        <v>13</v>
      </c>
      <c r="O358" s="3" t="s">
        <v>36</v>
      </c>
    </row>
    <row r="359" spans="1:15" x14ac:dyDescent="0.25">
      <c r="A359" s="2" t="s">
        <v>396</v>
      </c>
      <c r="B359" s="1">
        <v>35</v>
      </c>
      <c r="C359" s="1" t="s">
        <v>28</v>
      </c>
      <c r="D359" s="1" t="s">
        <v>40</v>
      </c>
      <c r="E359" s="1" t="s">
        <v>25</v>
      </c>
      <c r="F359" s="1">
        <v>22948</v>
      </c>
      <c r="G359" s="14">
        <v>4</v>
      </c>
      <c r="H359" s="1">
        <v>4</v>
      </c>
      <c r="I359" s="1">
        <v>5</v>
      </c>
      <c r="J359" s="1" t="s">
        <v>20</v>
      </c>
      <c r="K359" s="1">
        <v>19</v>
      </c>
      <c r="L359" s="1" t="s">
        <v>19</v>
      </c>
      <c r="M359" s="1" t="s">
        <v>21</v>
      </c>
      <c r="N359" s="1">
        <v>68</v>
      </c>
      <c r="O359" s="3" t="s">
        <v>42</v>
      </c>
    </row>
    <row r="360" spans="1:15" x14ac:dyDescent="0.25">
      <c r="A360" s="2" t="s">
        <v>397</v>
      </c>
      <c r="B360" s="1">
        <v>21</v>
      </c>
      <c r="C360" s="1" t="s">
        <v>16</v>
      </c>
      <c r="D360" s="1" t="s">
        <v>17</v>
      </c>
      <c r="E360" s="1" t="s">
        <v>25</v>
      </c>
      <c r="F360" s="1">
        <v>55487</v>
      </c>
      <c r="G360" s="14">
        <v>2</v>
      </c>
      <c r="H360" s="1">
        <v>1</v>
      </c>
      <c r="I360" s="1">
        <v>5</v>
      </c>
      <c r="J360" s="1" t="s">
        <v>19</v>
      </c>
      <c r="K360" s="1">
        <v>19</v>
      </c>
      <c r="L360" s="1" t="s">
        <v>19</v>
      </c>
      <c r="M360" s="1" t="s">
        <v>26</v>
      </c>
      <c r="N360" s="1">
        <v>9</v>
      </c>
      <c r="O360" s="3" t="s">
        <v>36</v>
      </c>
    </row>
    <row r="361" spans="1:15" x14ac:dyDescent="0.25">
      <c r="A361" s="2" t="s">
        <v>398</v>
      </c>
      <c r="B361" s="1">
        <v>36</v>
      </c>
      <c r="C361" s="1" t="s">
        <v>16</v>
      </c>
      <c r="D361" s="1" t="s">
        <v>51</v>
      </c>
      <c r="E361" s="1" t="s">
        <v>35</v>
      </c>
      <c r="F361" s="1">
        <v>54167</v>
      </c>
      <c r="G361" s="14">
        <v>4</v>
      </c>
      <c r="H361" s="1">
        <v>3</v>
      </c>
      <c r="I361" s="1">
        <v>4</v>
      </c>
      <c r="J361" s="1" t="s">
        <v>20</v>
      </c>
      <c r="K361" s="1">
        <v>18</v>
      </c>
      <c r="L361" s="1" t="s">
        <v>19</v>
      </c>
      <c r="M361" s="1" t="s">
        <v>26</v>
      </c>
      <c r="N361" s="1">
        <v>6</v>
      </c>
      <c r="O361" s="3" t="s">
        <v>22</v>
      </c>
    </row>
    <row r="362" spans="1:15" x14ac:dyDescent="0.25">
      <c r="A362" s="2" t="s">
        <v>399</v>
      </c>
      <c r="B362" s="1">
        <v>26</v>
      </c>
      <c r="C362" s="1" t="s">
        <v>28</v>
      </c>
      <c r="D362" s="1" t="s">
        <v>17</v>
      </c>
      <c r="E362" s="1" t="s">
        <v>25</v>
      </c>
      <c r="F362" s="1">
        <v>94406</v>
      </c>
      <c r="G362" s="14">
        <v>3</v>
      </c>
      <c r="H362" s="1">
        <v>3</v>
      </c>
      <c r="I362" s="1">
        <v>3</v>
      </c>
      <c r="J362" s="1" t="s">
        <v>19</v>
      </c>
      <c r="K362" s="1">
        <v>19</v>
      </c>
      <c r="L362" s="1" t="s">
        <v>19</v>
      </c>
      <c r="M362" s="1" t="s">
        <v>30</v>
      </c>
      <c r="N362" s="1">
        <v>56</v>
      </c>
      <c r="O362" s="3" t="s">
        <v>31</v>
      </c>
    </row>
    <row r="363" spans="1:15" x14ac:dyDescent="0.25">
      <c r="A363" s="2" t="s">
        <v>400</v>
      </c>
      <c r="B363" s="1">
        <v>21</v>
      </c>
      <c r="C363" s="1" t="s">
        <v>28</v>
      </c>
      <c r="D363" s="1" t="s">
        <v>51</v>
      </c>
      <c r="E363" s="1" t="s">
        <v>33</v>
      </c>
      <c r="F363" s="1">
        <v>84353</v>
      </c>
      <c r="G363" s="14">
        <v>1</v>
      </c>
      <c r="H363" s="1">
        <v>5</v>
      </c>
      <c r="I363" s="1">
        <v>1</v>
      </c>
      <c r="J363" s="1" t="s">
        <v>20</v>
      </c>
      <c r="K363" s="1">
        <v>10</v>
      </c>
      <c r="L363" s="1" t="s">
        <v>19</v>
      </c>
      <c r="M363" s="1" t="s">
        <v>26</v>
      </c>
      <c r="N363" s="1">
        <v>37</v>
      </c>
      <c r="O363" s="3" t="s">
        <v>31</v>
      </c>
    </row>
    <row r="364" spans="1:15" x14ac:dyDescent="0.25">
      <c r="A364" s="2" t="s">
        <v>401</v>
      </c>
      <c r="B364" s="1">
        <v>57</v>
      </c>
      <c r="C364" s="1" t="s">
        <v>28</v>
      </c>
      <c r="D364" s="1" t="s">
        <v>17</v>
      </c>
      <c r="E364" s="1" t="s">
        <v>33</v>
      </c>
      <c r="F364" s="1">
        <v>67424</v>
      </c>
      <c r="G364" s="14">
        <v>5</v>
      </c>
      <c r="H364" s="1">
        <v>4</v>
      </c>
      <c r="I364" s="1">
        <v>2</v>
      </c>
      <c r="J364" s="1" t="s">
        <v>20</v>
      </c>
      <c r="K364" s="1">
        <v>14</v>
      </c>
      <c r="L364" s="1" t="s">
        <v>20</v>
      </c>
      <c r="M364" s="1" t="s">
        <v>26</v>
      </c>
      <c r="N364" s="1">
        <v>8</v>
      </c>
      <c r="O364" s="3" t="s">
        <v>42</v>
      </c>
    </row>
    <row r="365" spans="1:15" x14ac:dyDescent="0.25">
      <c r="A365" s="2" t="s">
        <v>402</v>
      </c>
      <c r="B365" s="1">
        <v>28</v>
      </c>
      <c r="C365" s="1" t="s">
        <v>28</v>
      </c>
      <c r="D365" s="1" t="s">
        <v>40</v>
      </c>
      <c r="E365" s="1" t="s">
        <v>33</v>
      </c>
      <c r="F365" s="1">
        <v>101055</v>
      </c>
      <c r="G365" s="14">
        <v>2</v>
      </c>
      <c r="H365" s="1">
        <v>2</v>
      </c>
      <c r="I365" s="1">
        <v>3</v>
      </c>
      <c r="J365" s="1" t="s">
        <v>20</v>
      </c>
      <c r="K365" s="1">
        <v>11</v>
      </c>
      <c r="L365" s="1" t="s">
        <v>19</v>
      </c>
      <c r="M365" s="1" t="s">
        <v>26</v>
      </c>
      <c r="N365" s="1">
        <v>38</v>
      </c>
      <c r="O365" s="3" t="s">
        <v>44</v>
      </c>
    </row>
    <row r="366" spans="1:15" x14ac:dyDescent="0.25">
      <c r="A366" s="2" t="s">
        <v>403</v>
      </c>
      <c r="B366" s="1">
        <v>39</v>
      </c>
      <c r="C366" s="1" t="s">
        <v>16</v>
      </c>
      <c r="D366" s="1" t="s">
        <v>49</v>
      </c>
      <c r="E366" s="1" t="s">
        <v>38</v>
      </c>
      <c r="F366" s="1">
        <v>116145</v>
      </c>
      <c r="G366" s="14">
        <v>3</v>
      </c>
      <c r="H366" s="1">
        <v>1</v>
      </c>
      <c r="I366" s="1">
        <v>5</v>
      </c>
      <c r="J366" s="1" t="s">
        <v>19</v>
      </c>
      <c r="K366" s="1">
        <v>15</v>
      </c>
      <c r="L366" s="1" t="s">
        <v>20</v>
      </c>
      <c r="M366" s="1" t="s">
        <v>30</v>
      </c>
      <c r="N366" s="1">
        <v>32</v>
      </c>
      <c r="O366" s="3" t="s">
        <v>31</v>
      </c>
    </row>
    <row r="367" spans="1:15" x14ac:dyDescent="0.25">
      <c r="A367" s="2" t="s">
        <v>404</v>
      </c>
      <c r="B367" s="1">
        <v>38</v>
      </c>
      <c r="C367" s="1" t="s">
        <v>16</v>
      </c>
      <c r="D367" s="1" t="s">
        <v>17</v>
      </c>
      <c r="E367" s="1" t="s">
        <v>38</v>
      </c>
      <c r="F367" s="1">
        <v>42925</v>
      </c>
      <c r="G367" s="14">
        <v>4</v>
      </c>
      <c r="H367" s="1">
        <v>2</v>
      </c>
      <c r="I367" s="1">
        <v>2</v>
      </c>
      <c r="J367" s="1" t="s">
        <v>19</v>
      </c>
      <c r="K367" s="1">
        <v>8</v>
      </c>
      <c r="L367" s="1" t="s">
        <v>19</v>
      </c>
      <c r="M367" s="1" t="s">
        <v>21</v>
      </c>
      <c r="N367" s="1">
        <v>30</v>
      </c>
      <c r="O367" s="3" t="s">
        <v>44</v>
      </c>
    </row>
    <row r="368" spans="1:15" x14ac:dyDescent="0.25">
      <c r="A368" s="2" t="s">
        <v>405</v>
      </c>
      <c r="B368" s="1">
        <v>43</v>
      </c>
      <c r="C368" s="1" t="s">
        <v>16</v>
      </c>
      <c r="D368" s="1" t="s">
        <v>40</v>
      </c>
      <c r="E368" s="1" t="s">
        <v>35</v>
      </c>
      <c r="F368" s="1">
        <v>28287</v>
      </c>
      <c r="G368" s="14">
        <v>4</v>
      </c>
      <c r="H368" s="1">
        <v>5</v>
      </c>
      <c r="I368" s="1">
        <v>1</v>
      </c>
      <c r="J368" s="1" t="s">
        <v>19</v>
      </c>
      <c r="K368" s="1">
        <v>15</v>
      </c>
      <c r="L368" s="1" t="s">
        <v>20</v>
      </c>
      <c r="M368" s="1" t="s">
        <v>26</v>
      </c>
      <c r="N368" s="1">
        <v>45</v>
      </c>
      <c r="O368" s="3" t="s">
        <v>42</v>
      </c>
    </row>
    <row r="369" spans="1:15" x14ac:dyDescent="0.25">
      <c r="A369" s="2" t="s">
        <v>406</v>
      </c>
      <c r="B369" s="1">
        <v>57</v>
      </c>
      <c r="C369" s="1" t="s">
        <v>28</v>
      </c>
      <c r="D369" s="1" t="s">
        <v>49</v>
      </c>
      <c r="E369" s="1" t="s">
        <v>41</v>
      </c>
      <c r="F369" s="1">
        <v>118173</v>
      </c>
      <c r="G369" s="14">
        <v>5</v>
      </c>
      <c r="H369" s="1">
        <v>3</v>
      </c>
      <c r="I369" s="1">
        <v>4</v>
      </c>
      <c r="J369" s="1" t="s">
        <v>19</v>
      </c>
      <c r="K369" s="1">
        <v>18</v>
      </c>
      <c r="L369" s="1" t="s">
        <v>19</v>
      </c>
      <c r="M369" s="1" t="s">
        <v>21</v>
      </c>
      <c r="N369" s="1">
        <v>72</v>
      </c>
      <c r="O369" s="3" t="s">
        <v>42</v>
      </c>
    </row>
    <row r="370" spans="1:15" x14ac:dyDescent="0.25">
      <c r="A370" s="2" t="s">
        <v>407</v>
      </c>
      <c r="B370" s="1">
        <v>51</v>
      </c>
      <c r="C370" s="1" t="s">
        <v>16</v>
      </c>
      <c r="D370" s="1" t="s">
        <v>24</v>
      </c>
      <c r="E370" s="1" t="s">
        <v>18</v>
      </c>
      <c r="F370" s="1">
        <v>68925</v>
      </c>
      <c r="G370" s="14">
        <v>2</v>
      </c>
      <c r="H370" s="1">
        <v>4</v>
      </c>
      <c r="I370" s="1">
        <v>1</v>
      </c>
      <c r="J370" s="1" t="s">
        <v>20</v>
      </c>
      <c r="K370" s="1">
        <v>10</v>
      </c>
      <c r="L370" s="1" t="s">
        <v>19</v>
      </c>
      <c r="M370" s="1" t="s">
        <v>21</v>
      </c>
      <c r="N370" s="1">
        <v>31</v>
      </c>
      <c r="O370" s="3" t="s">
        <v>42</v>
      </c>
    </row>
    <row r="371" spans="1:15" x14ac:dyDescent="0.25">
      <c r="A371" s="2" t="s">
        <v>408</v>
      </c>
      <c r="B371" s="1">
        <v>58</v>
      </c>
      <c r="C371" s="1" t="s">
        <v>16</v>
      </c>
      <c r="D371" s="1" t="s">
        <v>29</v>
      </c>
      <c r="E371" s="1" t="s">
        <v>18</v>
      </c>
      <c r="F371" s="1">
        <v>98318</v>
      </c>
      <c r="G371" s="14">
        <v>3</v>
      </c>
      <c r="H371" s="1">
        <v>2</v>
      </c>
      <c r="I371" s="1">
        <v>5</v>
      </c>
      <c r="J371" s="1" t="s">
        <v>20</v>
      </c>
      <c r="K371" s="1">
        <v>7</v>
      </c>
      <c r="L371" s="1" t="s">
        <v>20</v>
      </c>
      <c r="M371" s="1" t="s">
        <v>30</v>
      </c>
      <c r="N371" s="1">
        <v>48</v>
      </c>
      <c r="O371" s="3" t="s">
        <v>36</v>
      </c>
    </row>
    <row r="372" spans="1:15" x14ac:dyDescent="0.25">
      <c r="A372" s="2" t="s">
        <v>409</v>
      </c>
      <c r="B372" s="1">
        <v>32</v>
      </c>
      <c r="C372" s="1" t="s">
        <v>28</v>
      </c>
      <c r="D372" s="1" t="s">
        <v>49</v>
      </c>
      <c r="E372" s="1" t="s">
        <v>41</v>
      </c>
      <c r="F372" s="1">
        <v>72931</v>
      </c>
      <c r="G372" s="14">
        <v>3</v>
      </c>
      <c r="H372" s="1">
        <v>3</v>
      </c>
      <c r="I372" s="1">
        <v>4</v>
      </c>
      <c r="J372" s="1" t="s">
        <v>20</v>
      </c>
      <c r="K372" s="1">
        <v>14</v>
      </c>
      <c r="L372" s="1" t="s">
        <v>19</v>
      </c>
      <c r="M372" s="1" t="s">
        <v>26</v>
      </c>
      <c r="N372" s="1">
        <v>21</v>
      </c>
      <c r="O372" s="3" t="s">
        <v>31</v>
      </c>
    </row>
    <row r="373" spans="1:15" x14ac:dyDescent="0.25">
      <c r="A373" s="2" t="s">
        <v>410</v>
      </c>
      <c r="B373" s="1">
        <v>35</v>
      </c>
      <c r="C373" s="1" t="s">
        <v>16</v>
      </c>
      <c r="D373" s="1" t="s">
        <v>17</v>
      </c>
      <c r="E373" s="1" t="s">
        <v>18</v>
      </c>
      <c r="F373" s="1">
        <v>48907</v>
      </c>
      <c r="G373" s="14">
        <v>5</v>
      </c>
      <c r="H373" s="1">
        <v>4</v>
      </c>
      <c r="I373" s="1">
        <v>4</v>
      </c>
      <c r="J373" s="1" t="s">
        <v>19</v>
      </c>
      <c r="K373" s="1">
        <v>4</v>
      </c>
      <c r="L373" s="1" t="s">
        <v>19</v>
      </c>
      <c r="M373" s="1" t="s">
        <v>30</v>
      </c>
      <c r="N373" s="1">
        <v>6</v>
      </c>
      <c r="O373" s="3" t="s">
        <v>44</v>
      </c>
    </row>
    <row r="374" spans="1:15" x14ac:dyDescent="0.25">
      <c r="A374" s="2" t="s">
        <v>411</v>
      </c>
      <c r="B374" s="1">
        <v>47</v>
      </c>
      <c r="C374" s="1" t="s">
        <v>28</v>
      </c>
      <c r="D374" s="1" t="s">
        <v>51</v>
      </c>
      <c r="E374" s="1" t="s">
        <v>38</v>
      </c>
      <c r="F374" s="1">
        <v>85765</v>
      </c>
      <c r="G374" s="14">
        <v>5</v>
      </c>
      <c r="H374" s="1">
        <v>3</v>
      </c>
      <c r="I374" s="1">
        <v>4</v>
      </c>
      <c r="J374" s="1" t="s">
        <v>20</v>
      </c>
      <c r="K374" s="1">
        <v>8</v>
      </c>
      <c r="L374" s="1" t="s">
        <v>19</v>
      </c>
      <c r="M374" s="1" t="s">
        <v>30</v>
      </c>
      <c r="N374" s="1">
        <v>17</v>
      </c>
      <c r="O374" s="3" t="s">
        <v>44</v>
      </c>
    </row>
    <row r="375" spans="1:15" x14ac:dyDescent="0.25">
      <c r="A375" s="2" t="s">
        <v>412</v>
      </c>
      <c r="B375" s="1">
        <v>24</v>
      </c>
      <c r="C375" s="1" t="s">
        <v>16</v>
      </c>
      <c r="D375" s="1" t="s">
        <v>29</v>
      </c>
      <c r="E375" s="1" t="s">
        <v>33</v>
      </c>
      <c r="F375" s="1">
        <v>100557</v>
      </c>
      <c r="G375" s="14">
        <v>1</v>
      </c>
      <c r="H375" s="1">
        <v>4</v>
      </c>
      <c r="I375" s="1">
        <v>3</v>
      </c>
      <c r="J375" s="1" t="s">
        <v>20</v>
      </c>
      <c r="K375" s="1">
        <v>11</v>
      </c>
      <c r="L375" s="1" t="s">
        <v>20</v>
      </c>
      <c r="M375" s="1" t="s">
        <v>26</v>
      </c>
      <c r="N375" s="1">
        <v>76</v>
      </c>
      <c r="O375" s="3" t="s">
        <v>36</v>
      </c>
    </row>
    <row r="376" spans="1:15" x14ac:dyDescent="0.25">
      <c r="A376" s="2" t="s">
        <v>413</v>
      </c>
      <c r="B376" s="1">
        <v>43</v>
      </c>
      <c r="C376" s="1" t="s">
        <v>16</v>
      </c>
      <c r="D376" s="1" t="s">
        <v>49</v>
      </c>
      <c r="E376" s="1" t="s">
        <v>35</v>
      </c>
      <c r="F376" s="1">
        <v>64018</v>
      </c>
      <c r="G376" s="14">
        <v>5</v>
      </c>
      <c r="H376" s="1">
        <v>2</v>
      </c>
      <c r="I376" s="1">
        <v>5</v>
      </c>
      <c r="J376" s="1" t="s">
        <v>19</v>
      </c>
      <c r="K376" s="1">
        <v>9</v>
      </c>
      <c r="L376" s="1" t="s">
        <v>20</v>
      </c>
      <c r="M376" s="1" t="s">
        <v>30</v>
      </c>
      <c r="N376" s="1">
        <v>70</v>
      </c>
      <c r="O376" s="3" t="s">
        <v>42</v>
      </c>
    </row>
    <row r="377" spans="1:15" x14ac:dyDescent="0.25">
      <c r="A377" s="2" t="s">
        <v>414</v>
      </c>
      <c r="B377" s="1">
        <v>49</v>
      </c>
      <c r="C377" s="1" t="s">
        <v>16</v>
      </c>
      <c r="D377" s="1" t="s">
        <v>49</v>
      </c>
      <c r="E377" s="1" t="s">
        <v>25</v>
      </c>
      <c r="F377" s="1">
        <v>55555</v>
      </c>
      <c r="G377" s="14">
        <v>4</v>
      </c>
      <c r="H377" s="1">
        <v>3</v>
      </c>
      <c r="I377" s="1">
        <v>2</v>
      </c>
      <c r="J377" s="1" t="s">
        <v>20</v>
      </c>
      <c r="K377" s="1">
        <v>13</v>
      </c>
      <c r="L377" s="1" t="s">
        <v>20</v>
      </c>
      <c r="M377" s="1" t="s">
        <v>21</v>
      </c>
      <c r="N377" s="1">
        <v>15</v>
      </c>
      <c r="O377" s="3" t="s">
        <v>44</v>
      </c>
    </row>
    <row r="378" spans="1:15" x14ac:dyDescent="0.25">
      <c r="A378" s="2" t="s">
        <v>415</v>
      </c>
      <c r="B378" s="1">
        <v>42</v>
      </c>
      <c r="C378" s="1" t="s">
        <v>16</v>
      </c>
      <c r="D378" s="1" t="s">
        <v>29</v>
      </c>
      <c r="E378" s="1" t="s">
        <v>18</v>
      </c>
      <c r="F378" s="1">
        <v>103591</v>
      </c>
      <c r="G378" s="14">
        <v>3</v>
      </c>
      <c r="H378" s="1">
        <v>3</v>
      </c>
      <c r="I378" s="1">
        <v>3</v>
      </c>
      <c r="J378" s="1" t="s">
        <v>20</v>
      </c>
      <c r="K378" s="1">
        <v>8</v>
      </c>
      <c r="L378" s="1" t="s">
        <v>20</v>
      </c>
      <c r="M378" s="1" t="s">
        <v>30</v>
      </c>
      <c r="N378" s="1">
        <v>80</v>
      </c>
      <c r="O378" s="3" t="s">
        <v>31</v>
      </c>
    </row>
    <row r="379" spans="1:15" x14ac:dyDescent="0.25">
      <c r="A379" s="2" t="s">
        <v>416</v>
      </c>
      <c r="B379" s="1">
        <v>49</v>
      </c>
      <c r="C379" s="1" t="s">
        <v>28</v>
      </c>
      <c r="D379" s="1" t="s">
        <v>51</v>
      </c>
      <c r="E379" s="1" t="s">
        <v>41</v>
      </c>
      <c r="F379" s="1">
        <v>21027</v>
      </c>
      <c r="G379" s="14">
        <v>2</v>
      </c>
      <c r="H379" s="1">
        <v>2</v>
      </c>
      <c r="I379" s="1">
        <v>3</v>
      </c>
      <c r="J379" s="1" t="s">
        <v>19</v>
      </c>
      <c r="K379" s="1">
        <v>6</v>
      </c>
      <c r="L379" s="1" t="s">
        <v>19</v>
      </c>
      <c r="M379" s="1" t="s">
        <v>30</v>
      </c>
      <c r="N379" s="1">
        <v>18</v>
      </c>
      <c r="O379" s="3" t="s">
        <v>22</v>
      </c>
    </row>
    <row r="380" spans="1:15" x14ac:dyDescent="0.25">
      <c r="A380" s="2" t="s">
        <v>417</v>
      </c>
      <c r="B380" s="1">
        <v>25</v>
      </c>
      <c r="C380" s="1" t="s">
        <v>28</v>
      </c>
      <c r="D380" s="1" t="s">
        <v>24</v>
      </c>
      <c r="E380" s="1" t="s">
        <v>35</v>
      </c>
      <c r="F380" s="1">
        <v>21455</v>
      </c>
      <c r="G380" s="14">
        <v>4</v>
      </c>
      <c r="H380" s="1">
        <v>5</v>
      </c>
      <c r="I380" s="1">
        <v>1</v>
      </c>
      <c r="J380" s="1" t="s">
        <v>19</v>
      </c>
      <c r="K380" s="1">
        <v>8</v>
      </c>
      <c r="L380" s="1" t="s">
        <v>19</v>
      </c>
      <c r="M380" s="1" t="s">
        <v>21</v>
      </c>
      <c r="N380" s="1">
        <v>54</v>
      </c>
      <c r="O380" s="3" t="s">
        <v>36</v>
      </c>
    </row>
    <row r="381" spans="1:15" x14ac:dyDescent="0.25">
      <c r="A381" s="2" t="s">
        <v>418</v>
      </c>
      <c r="B381" s="1">
        <v>35</v>
      </c>
      <c r="C381" s="1" t="s">
        <v>16</v>
      </c>
      <c r="D381" s="1" t="s">
        <v>17</v>
      </c>
      <c r="E381" s="1" t="s">
        <v>18</v>
      </c>
      <c r="F381" s="1">
        <v>76085</v>
      </c>
      <c r="G381" s="14">
        <v>2</v>
      </c>
      <c r="H381" s="1">
        <v>2</v>
      </c>
      <c r="I381" s="1">
        <v>5</v>
      </c>
      <c r="J381" s="1" t="s">
        <v>19</v>
      </c>
      <c r="K381" s="1">
        <v>0</v>
      </c>
      <c r="L381" s="1" t="s">
        <v>19</v>
      </c>
      <c r="M381" s="1" t="s">
        <v>26</v>
      </c>
      <c r="N381" s="1">
        <v>50</v>
      </c>
      <c r="O381" s="3" t="s">
        <v>36</v>
      </c>
    </row>
    <row r="382" spans="1:15" x14ac:dyDescent="0.25">
      <c r="A382" s="2" t="s">
        <v>419</v>
      </c>
      <c r="B382" s="1">
        <v>51</v>
      </c>
      <c r="C382" s="1" t="s">
        <v>28</v>
      </c>
      <c r="D382" s="1" t="s">
        <v>24</v>
      </c>
      <c r="E382" s="1" t="s">
        <v>18</v>
      </c>
      <c r="F382" s="1">
        <v>89898</v>
      </c>
      <c r="G382" s="14">
        <v>4</v>
      </c>
      <c r="H382" s="1">
        <v>2</v>
      </c>
      <c r="I382" s="1">
        <v>5</v>
      </c>
      <c r="J382" s="1" t="s">
        <v>19</v>
      </c>
      <c r="K382" s="1">
        <v>18</v>
      </c>
      <c r="L382" s="1" t="s">
        <v>20</v>
      </c>
      <c r="M382" s="1" t="s">
        <v>26</v>
      </c>
      <c r="N382" s="1">
        <v>77</v>
      </c>
      <c r="O382" s="3" t="s">
        <v>42</v>
      </c>
    </row>
    <row r="383" spans="1:15" x14ac:dyDescent="0.25">
      <c r="A383" s="2" t="s">
        <v>420</v>
      </c>
      <c r="B383" s="1">
        <v>54</v>
      </c>
      <c r="C383" s="1" t="s">
        <v>28</v>
      </c>
      <c r="D383" s="1" t="s">
        <v>29</v>
      </c>
      <c r="E383" s="1" t="s">
        <v>33</v>
      </c>
      <c r="F383" s="1">
        <v>88735</v>
      </c>
      <c r="G383" s="14">
        <v>2</v>
      </c>
      <c r="H383" s="1">
        <v>1</v>
      </c>
      <c r="I383" s="1">
        <v>4</v>
      </c>
      <c r="J383" s="1" t="s">
        <v>20</v>
      </c>
      <c r="K383" s="1">
        <v>11</v>
      </c>
      <c r="L383" s="1" t="s">
        <v>20</v>
      </c>
      <c r="M383" s="1" t="s">
        <v>30</v>
      </c>
      <c r="N383" s="1">
        <v>24</v>
      </c>
      <c r="O383" s="3" t="s">
        <v>36</v>
      </c>
    </row>
    <row r="384" spans="1:15" x14ac:dyDescent="0.25">
      <c r="A384" s="2" t="s">
        <v>421</v>
      </c>
      <c r="B384" s="1">
        <v>21</v>
      </c>
      <c r="C384" s="1" t="s">
        <v>16</v>
      </c>
      <c r="D384" s="1" t="s">
        <v>24</v>
      </c>
      <c r="E384" s="1" t="s">
        <v>41</v>
      </c>
      <c r="F384" s="1">
        <v>63073</v>
      </c>
      <c r="G384" s="14">
        <v>3</v>
      </c>
      <c r="H384" s="1">
        <v>4</v>
      </c>
      <c r="I384" s="1">
        <v>5</v>
      </c>
      <c r="J384" s="1" t="s">
        <v>19</v>
      </c>
      <c r="K384" s="1">
        <v>15</v>
      </c>
      <c r="L384" s="1" t="s">
        <v>20</v>
      </c>
      <c r="M384" s="1" t="s">
        <v>30</v>
      </c>
      <c r="N384" s="1">
        <v>6</v>
      </c>
      <c r="O384" s="3" t="s">
        <v>42</v>
      </c>
    </row>
    <row r="385" spans="1:15" x14ac:dyDescent="0.25">
      <c r="A385" s="2" t="s">
        <v>422</v>
      </c>
      <c r="B385" s="1">
        <v>39</v>
      </c>
      <c r="C385" s="1" t="s">
        <v>16</v>
      </c>
      <c r="D385" s="1" t="s">
        <v>40</v>
      </c>
      <c r="E385" s="1" t="s">
        <v>25</v>
      </c>
      <c r="F385" s="1">
        <v>66974</v>
      </c>
      <c r="G385" s="14">
        <v>2</v>
      </c>
      <c r="H385" s="1">
        <v>4</v>
      </c>
      <c r="I385" s="1">
        <v>5</v>
      </c>
      <c r="J385" s="1" t="s">
        <v>20</v>
      </c>
      <c r="K385" s="1">
        <v>12</v>
      </c>
      <c r="L385" s="1" t="s">
        <v>19</v>
      </c>
      <c r="M385" s="1" t="s">
        <v>21</v>
      </c>
      <c r="N385" s="1">
        <v>54</v>
      </c>
      <c r="O385" s="3" t="s">
        <v>42</v>
      </c>
    </row>
    <row r="386" spans="1:15" x14ac:dyDescent="0.25">
      <c r="A386" s="2" t="s">
        <v>423</v>
      </c>
      <c r="B386" s="1">
        <v>35</v>
      </c>
      <c r="C386" s="1" t="s">
        <v>28</v>
      </c>
      <c r="D386" s="1" t="s">
        <v>40</v>
      </c>
      <c r="E386" s="1" t="s">
        <v>33</v>
      </c>
      <c r="F386" s="1">
        <v>99962</v>
      </c>
      <c r="G386" s="14">
        <v>2</v>
      </c>
      <c r="H386" s="1">
        <v>5</v>
      </c>
      <c r="I386" s="1">
        <v>5</v>
      </c>
      <c r="J386" s="1" t="s">
        <v>20</v>
      </c>
      <c r="K386" s="1">
        <v>9</v>
      </c>
      <c r="L386" s="1" t="s">
        <v>20</v>
      </c>
      <c r="M386" s="1" t="s">
        <v>30</v>
      </c>
      <c r="N386" s="1">
        <v>29</v>
      </c>
      <c r="O386" s="3" t="s">
        <v>22</v>
      </c>
    </row>
    <row r="387" spans="1:15" x14ac:dyDescent="0.25">
      <c r="A387" s="2" t="s">
        <v>424</v>
      </c>
      <c r="B387" s="1">
        <v>32</v>
      </c>
      <c r="C387" s="1" t="s">
        <v>16</v>
      </c>
      <c r="D387" s="1" t="s">
        <v>29</v>
      </c>
      <c r="E387" s="1" t="s">
        <v>35</v>
      </c>
      <c r="F387" s="1">
        <v>101478</v>
      </c>
      <c r="G387" s="14">
        <v>4</v>
      </c>
      <c r="H387" s="1">
        <v>5</v>
      </c>
      <c r="I387" s="1">
        <v>4</v>
      </c>
      <c r="J387" s="1" t="s">
        <v>20</v>
      </c>
      <c r="K387" s="1">
        <v>19</v>
      </c>
      <c r="L387" s="1" t="s">
        <v>20</v>
      </c>
      <c r="M387" s="1" t="s">
        <v>21</v>
      </c>
      <c r="N387" s="1">
        <v>46</v>
      </c>
      <c r="O387" s="3" t="s">
        <v>22</v>
      </c>
    </row>
    <row r="388" spans="1:15" x14ac:dyDescent="0.25">
      <c r="A388" s="2" t="s">
        <v>425</v>
      </c>
      <c r="B388" s="1">
        <v>30</v>
      </c>
      <c r="C388" s="1" t="s">
        <v>16</v>
      </c>
      <c r="D388" s="1" t="s">
        <v>24</v>
      </c>
      <c r="E388" s="1" t="s">
        <v>35</v>
      </c>
      <c r="F388" s="1">
        <v>42371</v>
      </c>
      <c r="G388" s="14">
        <v>1</v>
      </c>
      <c r="H388" s="1">
        <v>3</v>
      </c>
      <c r="I388" s="1">
        <v>3</v>
      </c>
      <c r="J388" s="1" t="s">
        <v>19</v>
      </c>
      <c r="K388" s="1">
        <v>14</v>
      </c>
      <c r="L388" s="1" t="s">
        <v>19</v>
      </c>
      <c r="M388" s="1" t="s">
        <v>21</v>
      </c>
      <c r="N388" s="1">
        <v>16</v>
      </c>
      <c r="O388" s="3" t="s">
        <v>44</v>
      </c>
    </row>
    <row r="389" spans="1:15" x14ac:dyDescent="0.25">
      <c r="A389" s="2" t="s">
        <v>426</v>
      </c>
      <c r="B389" s="1">
        <v>21</v>
      </c>
      <c r="C389" s="1" t="s">
        <v>28</v>
      </c>
      <c r="D389" s="1" t="s">
        <v>51</v>
      </c>
      <c r="E389" s="1" t="s">
        <v>18</v>
      </c>
      <c r="F389" s="1">
        <v>73082</v>
      </c>
      <c r="G389" s="14">
        <v>3</v>
      </c>
      <c r="H389" s="1">
        <v>4</v>
      </c>
      <c r="I389" s="1">
        <v>3</v>
      </c>
      <c r="J389" s="1" t="s">
        <v>20</v>
      </c>
      <c r="K389" s="1">
        <v>1</v>
      </c>
      <c r="L389" s="1" t="s">
        <v>20</v>
      </c>
      <c r="M389" s="1" t="s">
        <v>21</v>
      </c>
      <c r="N389" s="1">
        <v>23</v>
      </c>
      <c r="O389" s="3" t="s">
        <v>22</v>
      </c>
    </row>
    <row r="390" spans="1:15" x14ac:dyDescent="0.25">
      <c r="A390" s="2" t="s">
        <v>427</v>
      </c>
      <c r="B390" s="1">
        <v>38</v>
      </c>
      <c r="C390" s="1" t="s">
        <v>28</v>
      </c>
      <c r="D390" s="1" t="s">
        <v>40</v>
      </c>
      <c r="E390" s="1" t="s">
        <v>25</v>
      </c>
      <c r="F390" s="1">
        <v>79623</v>
      </c>
      <c r="G390" s="14">
        <v>2</v>
      </c>
      <c r="H390" s="1">
        <v>2</v>
      </c>
      <c r="I390" s="1">
        <v>3</v>
      </c>
      <c r="J390" s="1" t="s">
        <v>20</v>
      </c>
      <c r="K390" s="1">
        <v>0</v>
      </c>
      <c r="L390" s="1" t="s">
        <v>19</v>
      </c>
      <c r="M390" s="1" t="s">
        <v>26</v>
      </c>
      <c r="N390" s="1">
        <v>36</v>
      </c>
      <c r="O390" s="3" t="s">
        <v>42</v>
      </c>
    </row>
    <row r="391" spans="1:15" x14ac:dyDescent="0.25">
      <c r="A391" s="2" t="s">
        <v>428</v>
      </c>
      <c r="B391" s="1">
        <v>49</v>
      </c>
      <c r="C391" s="1" t="s">
        <v>16</v>
      </c>
      <c r="D391" s="1" t="s">
        <v>17</v>
      </c>
      <c r="E391" s="1" t="s">
        <v>35</v>
      </c>
      <c r="F391" s="1">
        <v>44106</v>
      </c>
      <c r="G391" s="14">
        <v>3</v>
      </c>
      <c r="H391" s="1">
        <v>1</v>
      </c>
      <c r="I391" s="1">
        <v>5</v>
      </c>
      <c r="J391" s="1" t="s">
        <v>19</v>
      </c>
      <c r="K391" s="1">
        <v>15</v>
      </c>
      <c r="L391" s="1" t="s">
        <v>20</v>
      </c>
      <c r="M391" s="1" t="s">
        <v>26</v>
      </c>
      <c r="N391" s="1">
        <v>44</v>
      </c>
      <c r="O391" s="3" t="s">
        <v>36</v>
      </c>
    </row>
    <row r="392" spans="1:15" x14ac:dyDescent="0.25">
      <c r="A392" s="2" t="s">
        <v>429</v>
      </c>
      <c r="B392" s="1">
        <v>31</v>
      </c>
      <c r="C392" s="1" t="s">
        <v>16</v>
      </c>
      <c r="D392" s="1" t="s">
        <v>17</v>
      </c>
      <c r="E392" s="1" t="s">
        <v>25</v>
      </c>
      <c r="F392" s="1">
        <v>86278</v>
      </c>
      <c r="G392" s="14">
        <v>1</v>
      </c>
      <c r="H392" s="1">
        <v>3</v>
      </c>
      <c r="I392" s="1">
        <v>4</v>
      </c>
      <c r="J392" s="1" t="s">
        <v>20</v>
      </c>
      <c r="K392" s="1">
        <v>6</v>
      </c>
      <c r="L392" s="1" t="s">
        <v>20</v>
      </c>
      <c r="M392" s="1" t="s">
        <v>21</v>
      </c>
      <c r="N392" s="1">
        <v>32</v>
      </c>
      <c r="O392" s="3" t="s">
        <v>22</v>
      </c>
    </row>
    <row r="393" spans="1:15" x14ac:dyDescent="0.25">
      <c r="A393" s="2" t="s">
        <v>430</v>
      </c>
      <c r="B393" s="1">
        <v>36</v>
      </c>
      <c r="C393" s="1" t="s">
        <v>28</v>
      </c>
      <c r="D393" s="1" t="s">
        <v>29</v>
      </c>
      <c r="E393" s="1" t="s">
        <v>35</v>
      </c>
      <c r="F393" s="1">
        <v>39936</v>
      </c>
      <c r="G393" s="14">
        <v>3</v>
      </c>
      <c r="H393" s="1">
        <v>5</v>
      </c>
      <c r="I393" s="1">
        <v>1</v>
      </c>
      <c r="J393" s="1" t="s">
        <v>20</v>
      </c>
      <c r="K393" s="1">
        <v>7</v>
      </c>
      <c r="L393" s="1" t="s">
        <v>19</v>
      </c>
      <c r="M393" s="1" t="s">
        <v>21</v>
      </c>
      <c r="N393" s="1">
        <v>79</v>
      </c>
      <c r="O393" s="3" t="s">
        <v>42</v>
      </c>
    </row>
    <row r="394" spans="1:15" x14ac:dyDescent="0.25">
      <c r="A394" s="2" t="s">
        <v>431</v>
      </c>
      <c r="B394" s="1">
        <v>30</v>
      </c>
      <c r="C394" s="1" t="s">
        <v>28</v>
      </c>
      <c r="D394" s="1" t="s">
        <v>40</v>
      </c>
      <c r="E394" s="1" t="s">
        <v>41</v>
      </c>
      <c r="F394" s="1">
        <v>38669</v>
      </c>
      <c r="G394" s="14">
        <v>4</v>
      </c>
      <c r="H394" s="1">
        <v>1</v>
      </c>
      <c r="I394" s="1">
        <v>5</v>
      </c>
      <c r="J394" s="1" t="s">
        <v>20</v>
      </c>
      <c r="K394" s="1">
        <v>20</v>
      </c>
      <c r="L394" s="1" t="s">
        <v>19</v>
      </c>
      <c r="M394" s="1" t="s">
        <v>21</v>
      </c>
      <c r="N394" s="1">
        <v>50</v>
      </c>
      <c r="O394" s="3" t="s">
        <v>44</v>
      </c>
    </row>
    <row r="395" spans="1:15" x14ac:dyDescent="0.25">
      <c r="A395" s="2" t="s">
        <v>432</v>
      </c>
      <c r="B395" s="1">
        <v>55</v>
      </c>
      <c r="C395" s="1" t="s">
        <v>16</v>
      </c>
      <c r="D395" s="1" t="s">
        <v>51</v>
      </c>
      <c r="E395" s="1" t="s">
        <v>33</v>
      </c>
      <c r="F395" s="1">
        <v>48497</v>
      </c>
      <c r="G395" s="14">
        <v>3</v>
      </c>
      <c r="H395" s="1">
        <v>3</v>
      </c>
      <c r="I395" s="1">
        <v>3</v>
      </c>
      <c r="J395" s="1" t="s">
        <v>20</v>
      </c>
      <c r="K395" s="1">
        <v>6</v>
      </c>
      <c r="L395" s="1" t="s">
        <v>19</v>
      </c>
      <c r="M395" s="1" t="s">
        <v>26</v>
      </c>
      <c r="N395" s="1">
        <v>53</v>
      </c>
      <c r="O395" s="3" t="s">
        <v>36</v>
      </c>
    </row>
    <row r="396" spans="1:15" x14ac:dyDescent="0.25">
      <c r="A396" s="2" t="s">
        <v>433</v>
      </c>
      <c r="B396" s="1">
        <v>29</v>
      </c>
      <c r="C396" s="1" t="s">
        <v>28</v>
      </c>
      <c r="D396" s="1" t="s">
        <v>40</v>
      </c>
      <c r="E396" s="1" t="s">
        <v>33</v>
      </c>
      <c r="F396" s="1">
        <v>110618</v>
      </c>
      <c r="G396" s="14">
        <v>4</v>
      </c>
      <c r="H396" s="1">
        <v>5</v>
      </c>
      <c r="I396" s="1">
        <v>3</v>
      </c>
      <c r="J396" s="1" t="s">
        <v>20</v>
      </c>
      <c r="K396" s="1">
        <v>6</v>
      </c>
      <c r="L396" s="1" t="s">
        <v>19</v>
      </c>
      <c r="M396" s="1" t="s">
        <v>26</v>
      </c>
      <c r="N396" s="1">
        <v>49</v>
      </c>
      <c r="O396" s="3" t="s">
        <v>36</v>
      </c>
    </row>
    <row r="397" spans="1:15" x14ac:dyDescent="0.25">
      <c r="A397" s="2" t="s">
        <v>434</v>
      </c>
      <c r="B397" s="1">
        <v>50</v>
      </c>
      <c r="C397" s="1" t="s">
        <v>28</v>
      </c>
      <c r="D397" s="1" t="s">
        <v>24</v>
      </c>
      <c r="E397" s="1" t="s">
        <v>25</v>
      </c>
      <c r="F397" s="1">
        <v>39016</v>
      </c>
      <c r="G397" s="14">
        <v>1</v>
      </c>
      <c r="H397" s="1">
        <v>5</v>
      </c>
      <c r="I397" s="1">
        <v>2</v>
      </c>
      <c r="J397" s="1" t="s">
        <v>20</v>
      </c>
      <c r="K397" s="1">
        <v>9</v>
      </c>
      <c r="L397" s="1" t="s">
        <v>20</v>
      </c>
      <c r="M397" s="1" t="s">
        <v>26</v>
      </c>
      <c r="N397" s="1">
        <v>51</v>
      </c>
      <c r="O397" s="3" t="s">
        <v>42</v>
      </c>
    </row>
    <row r="398" spans="1:15" x14ac:dyDescent="0.25">
      <c r="A398" s="2" t="s">
        <v>435</v>
      </c>
      <c r="B398" s="1">
        <v>21</v>
      </c>
      <c r="C398" s="1" t="s">
        <v>28</v>
      </c>
      <c r="D398" s="1" t="s">
        <v>17</v>
      </c>
      <c r="E398" s="1" t="s">
        <v>41</v>
      </c>
      <c r="F398" s="1">
        <v>20453</v>
      </c>
      <c r="G398" s="14">
        <v>5</v>
      </c>
      <c r="H398" s="1">
        <v>3</v>
      </c>
      <c r="I398" s="1">
        <v>5</v>
      </c>
      <c r="J398" s="1" t="s">
        <v>19</v>
      </c>
      <c r="K398" s="1">
        <v>10</v>
      </c>
      <c r="L398" s="1" t="s">
        <v>19</v>
      </c>
      <c r="M398" s="1" t="s">
        <v>26</v>
      </c>
      <c r="N398" s="1">
        <v>73</v>
      </c>
      <c r="O398" s="3" t="s">
        <v>42</v>
      </c>
    </row>
    <row r="399" spans="1:15" x14ac:dyDescent="0.25">
      <c r="A399" s="2" t="s">
        <v>436</v>
      </c>
      <c r="B399" s="1">
        <v>33</v>
      </c>
      <c r="C399" s="1" t="s">
        <v>28</v>
      </c>
      <c r="D399" s="1" t="s">
        <v>24</v>
      </c>
      <c r="E399" s="1" t="s">
        <v>41</v>
      </c>
      <c r="F399" s="1">
        <v>98352</v>
      </c>
      <c r="G399" s="14">
        <v>3</v>
      </c>
      <c r="H399" s="1">
        <v>3</v>
      </c>
      <c r="I399" s="1">
        <v>4</v>
      </c>
      <c r="J399" s="1" t="s">
        <v>20</v>
      </c>
      <c r="K399" s="1">
        <v>3</v>
      </c>
      <c r="L399" s="1" t="s">
        <v>19</v>
      </c>
      <c r="M399" s="1" t="s">
        <v>26</v>
      </c>
      <c r="N399" s="1">
        <v>13</v>
      </c>
      <c r="O399" s="3" t="s">
        <v>22</v>
      </c>
    </row>
    <row r="400" spans="1:15" x14ac:dyDescent="0.25">
      <c r="A400" s="2" t="s">
        <v>437</v>
      </c>
      <c r="B400" s="1">
        <v>29</v>
      </c>
      <c r="C400" s="1" t="s">
        <v>16</v>
      </c>
      <c r="D400" s="1" t="s">
        <v>40</v>
      </c>
      <c r="E400" s="1" t="s">
        <v>41</v>
      </c>
      <c r="F400" s="1">
        <v>32031</v>
      </c>
      <c r="G400" s="14">
        <v>4</v>
      </c>
      <c r="H400" s="1">
        <v>2</v>
      </c>
      <c r="I400" s="1">
        <v>1</v>
      </c>
      <c r="J400" s="1" t="s">
        <v>19</v>
      </c>
      <c r="K400" s="1">
        <v>18</v>
      </c>
      <c r="L400" s="1" t="s">
        <v>20</v>
      </c>
      <c r="M400" s="1" t="s">
        <v>26</v>
      </c>
      <c r="N400" s="1">
        <v>67</v>
      </c>
      <c r="O400" s="3" t="s">
        <v>31</v>
      </c>
    </row>
    <row r="401" spans="1:15" x14ac:dyDescent="0.25">
      <c r="A401" s="2" t="s">
        <v>438</v>
      </c>
      <c r="B401" s="1">
        <v>58</v>
      </c>
      <c r="C401" s="1" t="s">
        <v>28</v>
      </c>
      <c r="D401" s="1" t="s">
        <v>40</v>
      </c>
      <c r="E401" s="1" t="s">
        <v>18</v>
      </c>
      <c r="F401" s="1">
        <v>46930</v>
      </c>
      <c r="G401" s="14">
        <v>5</v>
      </c>
      <c r="H401" s="1">
        <v>1</v>
      </c>
      <c r="I401" s="1">
        <v>1</v>
      </c>
      <c r="J401" s="1" t="s">
        <v>19</v>
      </c>
      <c r="K401" s="1">
        <v>20</v>
      </c>
      <c r="L401" s="1" t="s">
        <v>20</v>
      </c>
      <c r="M401" s="1" t="s">
        <v>21</v>
      </c>
      <c r="N401" s="1">
        <v>64</v>
      </c>
      <c r="O401" s="3" t="s">
        <v>22</v>
      </c>
    </row>
    <row r="402" spans="1:15" x14ac:dyDescent="0.25">
      <c r="A402" s="2" t="s">
        <v>439</v>
      </c>
      <c r="B402" s="1">
        <v>44</v>
      </c>
      <c r="C402" s="1" t="s">
        <v>28</v>
      </c>
      <c r="D402" s="1" t="s">
        <v>29</v>
      </c>
      <c r="E402" s="1" t="s">
        <v>38</v>
      </c>
      <c r="F402" s="1">
        <v>25641</v>
      </c>
      <c r="G402" s="14">
        <v>5</v>
      </c>
      <c r="H402" s="1">
        <v>3</v>
      </c>
      <c r="I402" s="1">
        <v>5</v>
      </c>
      <c r="J402" s="1" t="s">
        <v>19</v>
      </c>
      <c r="K402" s="1">
        <v>2</v>
      </c>
      <c r="L402" s="1" t="s">
        <v>20</v>
      </c>
      <c r="M402" s="1" t="s">
        <v>21</v>
      </c>
      <c r="N402" s="1">
        <v>32</v>
      </c>
      <c r="O402" s="3" t="s">
        <v>31</v>
      </c>
    </row>
    <row r="403" spans="1:15" x14ac:dyDescent="0.25">
      <c r="A403" s="2" t="s">
        <v>440</v>
      </c>
      <c r="B403" s="1">
        <v>27</v>
      </c>
      <c r="C403" s="1" t="s">
        <v>16</v>
      </c>
      <c r="D403" s="1" t="s">
        <v>17</v>
      </c>
      <c r="E403" s="1" t="s">
        <v>41</v>
      </c>
      <c r="F403" s="1">
        <v>87685</v>
      </c>
      <c r="G403" s="14">
        <v>4</v>
      </c>
      <c r="H403" s="1">
        <v>2</v>
      </c>
      <c r="I403" s="1">
        <v>2</v>
      </c>
      <c r="J403" s="1" t="s">
        <v>19</v>
      </c>
      <c r="K403" s="1">
        <v>18</v>
      </c>
      <c r="L403" s="1" t="s">
        <v>19</v>
      </c>
      <c r="M403" s="1" t="s">
        <v>26</v>
      </c>
      <c r="N403" s="1">
        <v>76</v>
      </c>
      <c r="O403" s="3" t="s">
        <v>42</v>
      </c>
    </row>
    <row r="404" spans="1:15" x14ac:dyDescent="0.25">
      <c r="A404" s="2" t="s">
        <v>441</v>
      </c>
      <c r="B404" s="1">
        <v>27</v>
      </c>
      <c r="C404" s="1" t="s">
        <v>28</v>
      </c>
      <c r="D404" s="1" t="s">
        <v>17</v>
      </c>
      <c r="E404" s="1" t="s">
        <v>33</v>
      </c>
      <c r="F404" s="1">
        <v>110084</v>
      </c>
      <c r="G404" s="14">
        <v>4</v>
      </c>
      <c r="H404" s="1">
        <v>1</v>
      </c>
      <c r="I404" s="1">
        <v>2</v>
      </c>
      <c r="J404" s="1" t="s">
        <v>19</v>
      </c>
      <c r="K404" s="1">
        <v>17</v>
      </c>
      <c r="L404" s="1" t="s">
        <v>20</v>
      </c>
      <c r="M404" s="1" t="s">
        <v>26</v>
      </c>
      <c r="N404" s="1">
        <v>48</v>
      </c>
      <c r="O404" s="3" t="s">
        <v>44</v>
      </c>
    </row>
    <row r="405" spans="1:15" x14ac:dyDescent="0.25">
      <c r="A405" s="2" t="s">
        <v>442</v>
      </c>
      <c r="B405" s="1">
        <v>55</v>
      </c>
      <c r="C405" s="1" t="s">
        <v>28</v>
      </c>
      <c r="D405" s="1" t="s">
        <v>29</v>
      </c>
      <c r="E405" s="1" t="s">
        <v>18</v>
      </c>
      <c r="F405" s="1">
        <v>90100</v>
      </c>
      <c r="G405" s="14">
        <v>3</v>
      </c>
      <c r="H405" s="1">
        <v>3</v>
      </c>
      <c r="I405" s="1">
        <v>4</v>
      </c>
      <c r="J405" s="1" t="s">
        <v>20</v>
      </c>
      <c r="K405" s="1">
        <v>10</v>
      </c>
      <c r="L405" s="1" t="s">
        <v>19</v>
      </c>
      <c r="M405" s="1" t="s">
        <v>26</v>
      </c>
      <c r="N405" s="1">
        <v>74</v>
      </c>
      <c r="O405" s="3" t="s">
        <v>44</v>
      </c>
    </row>
    <row r="406" spans="1:15" x14ac:dyDescent="0.25">
      <c r="A406" s="2" t="s">
        <v>443</v>
      </c>
      <c r="B406" s="1">
        <v>39</v>
      </c>
      <c r="C406" s="1" t="s">
        <v>28</v>
      </c>
      <c r="D406" s="1" t="s">
        <v>29</v>
      </c>
      <c r="E406" s="1" t="s">
        <v>33</v>
      </c>
      <c r="F406" s="1">
        <v>76654</v>
      </c>
      <c r="G406" s="14">
        <v>4</v>
      </c>
      <c r="H406" s="1">
        <v>1</v>
      </c>
      <c r="I406" s="1">
        <v>1</v>
      </c>
      <c r="J406" s="1" t="s">
        <v>20</v>
      </c>
      <c r="K406" s="1">
        <v>19</v>
      </c>
      <c r="L406" s="1" t="s">
        <v>19</v>
      </c>
      <c r="M406" s="1" t="s">
        <v>26</v>
      </c>
      <c r="N406" s="1">
        <v>22</v>
      </c>
      <c r="O406" s="3" t="s">
        <v>36</v>
      </c>
    </row>
    <row r="407" spans="1:15" x14ac:dyDescent="0.25">
      <c r="A407" s="2" t="s">
        <v>444</v>
      </c>
      <c r="B407" s="1">
        <v>21</v>
      </c>
      <c r="C407" s="1" t="s">
        <v>28</v>
      </c>
      <c r="D407" s="1" t="s">
        <v>51</v>
      </c>
      <c r="E407" s="1" t="s">
        <v>41</v>
      </c>
      <c r="F407" s="1">
        <v>59275</v>
      </c>
      <c r="G407" s="14">
        <v>1</v>
      </c>
      <c r="H407" s="1">
        <v>3</v>
      </c>
      <c r="I407" s="1">
        <v>5</v>
      </c>
      <c r="J407" s="1" t="s">
        <v>19</v>
      </c>
      <c r="K407" s="1">
        <v>3</v>
      </c>
      <c r="L407" s="1" t="s">
        <v>19</v>
      </c>
      <c r="M407" s="1" t="s">
        <v>30</v>
      </c>
      <c r="N407" s="1">
        <v>50</v>
      </c>
      <c r="O407" s="3" t="s">
        <v>44</v>
      </c>
    </row>
    <row r="408" spans="1:15" x14ac:dyDescent="0.25">
      <c r="A408" s="2" t="s">
        <v>445</v>
      </c>
      <c r="B408" s="1">
        <v>39</v>
      </c>
      <c r="C408" s="1" t="s">
        <v>28</v>
      </c>
      <c r="D408" s="1" t="s">
        <v>29</v>
      </c>
      <c r="E408" s="1" t="s">
        <v>25</v>
      </c>
      <c r="F408" s="1">
        <v>50749</v>
      </c>
      <c r="G408" s="14">
        <v>2</v>
      </c>
      <c r="H408" s="1">
        <v>3</v>
      </c>
      <c r="I408" s="1">
        <v>3</v>
      </c>
      <c r="J408" s="1" t="s">
        <v>19</v>
      </c>
      <c r="K408" s="1">
        <v>18</v>
      </c>
      <c r="L408" s="1" t="s">
        <v>20</v>
      </c>
      <c r="M408" s="1" t="s">
        <v>26</v>
      </c>
      <c r="N408" s="1">
        <v>32</v>
      </c>
      <c r="O408" s="3" t="s">
        <v>22</v>
      </c>
    </row>
    <row r="409" spans="1:15" x14ac:dyDescent="0.25">
      <c r="A409" s="2" t="s">
        <v>446</v>
      </c>
      <c r="B409" s="1">
        <v>41</v>
      </c>
      <c r="C409" s="1" t="s">
        <v>28</v>
      </c>
      <c r="D409" s="1" t="s">
        <v>51</v>
      </c>
      <c r="E409" s="1" t="s">
        <v>33</v>
      </c>
      <c r="F409" s="1">
        <v>108386</v>
      </c>
      <c r="G409" s="14">
        <v>5</v>
      </c>
      <c r="H409" s="1">
        <v>1</v>
      </c>
      <c r="I409" s="1">
        <v>5</v>
      </c>
      <c r="J409" s="1" t="s">
        <v>20</v>
      </c>
      <c r="K409" s="1">
        <v>1</v>
      </c>
      <c r="L409" s="1" t="s">
        <v>20</v>
      </c>
      <c r="M409" s="1" t="s">
        <v>21</v>
      </c>
      <c r="N409" s="1">
        <v>12</v>
      </c>
      <c r="O409" s="3" t="s">
        <v>36</v>
      </c>
    </row>
    <row r="410" spans="1:15" x14ac:dyDescent="0.25">
      <c r="A410" s="2" t="s">
        <v>447</v>
      </c>
      <c r="B410" s="1">
        <v>43</v>
      </c>
      <c r="C410" s="1" t="s">
        <v>28</v>
      </c>
      <c r="D410" s="1" t="s">
        <v>49</v>
      </c>
      <c r="E410" s="1" t="s">
        <v>35</v>
      </c>
      <c r="F410" s="1">
        <v>118976</v>
      </c>
      <c r="G410" s="14">
        <v>2</v>
      </c>
      <c r="H410" s="1">
        <v>3</v>
      </c>
      <c r="I410" s="1">
        <v>1</v>
      </c>
      <c r="J410" s="1" t="s">
        <v>20</v>
      </c>
      <c r="K410" s="1">
        <v>1</v>
      </c>
      <c r="L410" s="1" t="s">
        <v>20</v>
      </c>
      <c r="M410" s="1" t="s">
        <v>26</v>
      </c>
      <c r="N410" s="1">
        <v>10</v>
      </c>
      <c r="O410" s="3" t="s">
        <v>36</v>
      </c>
    </row>
    <row r="411" spans="1:15" x14ac:dyDescent="0.25">
      <c r="A411" s="2" t="s">
        <v>448</v>
      </c>
      <c r="B411" s="1">
        <v>55</v>
      </c>
      <c r="C411" s="1" t="s">
        <v>16</v>
      </c>
      <c r="D411" s="1" t="s">
        <v>29</v>
      </c>
      <c r="E411" s="1" t="s">
        <v>25</v>
      </c>
      <c r="F411" s="1">
        <v>109457</v>
      </c>
      <c r="G411" s="14">
        <v>2</v>
      </c>
      <c r="H411" s="1">
        <v>2</v>
      </c>
      <c r="I411" s="1">
        <v>1</v>
      </c>
      <c r="J411" s="1" t="s">
        <v>20</v>
      </c>
      <c r="K411" s="1">
        <v>14</v>
      </c>
      <c r="L411" s="1" t="s">
        <v>19</v>
      </c>
      <c r="M411" s="1" t="s">
        <v>21</v>
      </c>
      <c r="N411" s="1">
        <v>60</v>
      </c>
      <c r="O411" s="3" t="s">
        <v>36</v>
      </c>
    </row>
    <row r="412" spans="1:15" x14ac:dyDescent="0.25">
      <c r="A412" s="2" t="s">
        <v>449</v>
      </c>
      <c r="B412" s="1">
        <v>46</v>
      </c>
      <c r="C412" s="1" t="s">
        <v>16</v>
      </c>
      <c r="D412" s="1" t="s">
        <v>51</v>
      </c>
      <c r="E412" s="1" t="s">
        <v>18</v>
      </c>
      <c r="F412" s="1">
        <v>28819</v>
      </c>
      <c r="G412" s="14">
        <v>4</v>
      </c>
      <c r="H412" s="1">
        <v>5</v>
      </c>
      <c r="I412" s="1">
        <v>1</v>
      </c>
      <c r="J412" s="1" t="s">
        <v>20</v>
      </c>
      <c r="K412" s="1">
        <v>8</v>
      </c>
      <c r="L412" s="1" t="s">
        <v>19</v>
      </c>
      <c r="M412" s="1" t="s">
        <v>30</v>
      </c>
      <c r="N412" s="1">
        <v>69</v>
      </c>
      <c r="O412" s="3" t="s">
        <v>42</v>
      </c>
    </row>
    <row r="413" spans="1:15" x14ac:dyDescent="0.25">
      <c r="A413" s="2" t="s">
        <v>450</v>
      </c>
      <c r="B413" s="1">
        <v>29</v>
      </c>
      <c r="C413" s="1" t="s">
        <v>16</v>
      </c>
      <c r="D413" s="1" t="s">
        <v>49</v>
      </c>
      <c r="E413" s="1" t="s">
        <v>25</v>
      </c>
      <c r="F413" s="1">
        <v>43966</v>
      </c>
      <c r="G413" s="14">
        <v>4</v>
      </c>
      <c r="H413" s="1">
        <v>4</v>
      </c>
      <c r="I413" s="1">
        <v>5</v>
      </c>
      <c r="J413" s="1" t="s">
        <v>19</v>
      </c>
      <c r="K413" s="1">
        <v>17</v>
      </c>
      <c r="L413" s="1" t="s">
        <v>19</v>
      </c>
      <c r="M413" s="1" t="s">
        <v>21</v>
      </c>
      <c r="N413" s="1">
        <v>14</v>
      </c>
      <c r="O413" s="3" t="s">
        <v>36</v>
      </c>
    </row>
    <row r="414" spans="1:15" x14ac:dyDescent="0.25">
      <c r="A414" s="2" t="s">
        <v>451</v>
      </c>
      <c r="B414" s="1">
        <v>48</v>
      </c>
      <c r="C414" s="1" t="s">
        <v>28</v>
      </c>
      <c r="D414" s="1" t="s">
        <v>17</v>
      </c>
      <c r="E414" s="1" t="s">
        <v>25</v>
      </c>
      <c r="F414" s="1">
        <v>29743</v>
      </c>
      <c r="G414" s="14">
        <v>1</v>
      </c>
      <c r="H414" s="1">
        <v>4</v>
      </c>
      <c r="I414" s="1">
        <v>4</v>
      </c>
      <c r="J414" s="1" t="s">
        <v>20</v>
      </c>
      <c r="K414" s="1">
        <v>11</v>
      </c>
      <c r="L414" s="1" t="s">
        <v>19</v>
      </c>
      <c r="M414" s="1" t="s">
        <v>30</v>
      </c>
      <c r="N414" s="1">
        <v>49</v>
      </c>
      <c r="O414" s="3" t="s">
        <v>31</v>
      </c>
    </row>
    <row r="415" spans="1:15" x14ac:dyDescent="0.25">
      <c r="A415" s="2" t="s">
        <v>452</v>
      </c>
      <c r="B415" s="1">
        <v>22</v>
      </c>
      <c r="C415" s="1" t="s">
        <v>28</v>
      </c>
      <c r="D415" s="1" t="s">
        <v>51</v>
      </c>
      <c r="E415" s="1" t="s">
        <v>18</v>
      </c>
      <c r="F415" s="1">
        <v>98769</v>
      </c>
      <c r="G415" s="14">
        <v>4</v>
      </c>
      <c r="H415" s="1">
        <v>5</v>
      </c>
      <c r="I415" s="1">
        <v>2</v>
      </c>
      <c r="J415" s="1" t="s">
        <v>20</v>
      </c>
      <c r="K415" s="1">
        <v>1</v>
      </c>
      <c r="L415" s="1" t="s">
        <v>19</v>
      </c>
      <c r="M415" s="1" t="s">
        <v>21</v>
      </c>
      <c r="N415" s="1">
        <v>52</v>
      </c>
      <c r="O415" s="3" t="s">
        <v>44</v>
      </c>
    </row>
    <row r="416" spans="1:15" x14ac:dyDescent="0.25">
      <c r="A416" s="2" t="s">
        <v>453</v>
      </c>
      <c r="B416" s="1">
        <v>26</v>
      </c>
      <c r="C416" s="1" t="s">
        <v>16</v>
      </c>
      <c r="D416" s="1" t="s">
        <v>17</v>
      </c>
      <c r="E416" s="1" t="s">
        <v>35</v>
      </c>
      <c r="F416" s="1">
        <v>49856</v>
      </c>
      <c r="G416" s="14">
        <v>5</v>
      </c>
      <c r="H416" s="1">
        <v>3</v>
      </c>
      <c r="I416" s="1">
        <v>3</v>
      </c>
      <c r="J416" s="1" t="s">
        <v>19</v>
      </c>
      <c r="K416" s="1">
        <v>10</v>
      </c>
      <c r="L416" s="1" t="s">
        <v>19</v>
      </c>
      <c r="M416" s="1" t="s">
        <v>30</v>
      </c>
      <c r="N416" s="1">
        <v>62</v>
      </c>
      <c r="O416" s="3" t="s">
        <v>42</v>
      </c>
    </row>
    <row r="417" spans="1:15" x14ac:dyDescent="0.25">
      <c r="A417" s="2" t="s">
        <v>454</v>
      </c>
      <c r="B417" s="1">
        <v>22</v>
      </c>
      <c r="C417" s="1" t="s">
        <v>28</v>
      </c>
      <c r="D417" s="1" t="s">
        <v>51</v>
      </c>
      <c r="E417" s="1" t="s">
        <v>38</v>
      </c>
      <c r="F417" s="1">
        <v>88517</v>
      </c>
      <c r="G417" s="14">
        <v>2</v>
      </c>
      <c r="H417" s="1">
        <v>2</v>
      </c>
      <c r="I417" s="1">
        <v>5</v>
      </c>
      <c r="J417" s="1" t="s">
        <v>20</v>
      </c>
      <c r="K417" s="1">
        <v>17</v>
      </c>
      <c r="L417" s="1" t="s">
        <v>20</v>
      </c>
      <c r="M417" s="1" t="s">
        <v>26</v>
      </c>
      <c r="N417" s="1">
        <v>23</v>
      </c>
      <c r="O417" s="3" t="s">
        <v>22</v>
      </c>
    </row>
    <row r="418" spans="1:15" x14ac:dyDescent="0.25">
      <c r="A418" s="2" t="s">
        <v>455</v>
      </c>
      <c r="B418" s="1">
        <v>45</v>
      </c>
      <c r="C418" s="1" t="s">
        <v>16</v>
      </c>
      <c r="D418" s="1" t="s">
        <v>29</v>
      </c>
      <c r="E418" s="1" t="s">
        <v>41</v>
      </c>
      <c r="F418" s="1">
        <v>25878</v>
      </c>
      <c r="G418" s="14">
        <v>3</v>
      </c>
      <c r="H418" s="1">
        <v>2</v>
      </c>
      <c r="I418" s="1">
        <v>5</v>
      </c>
      <c r="J418" s="1" t="s">
        <v>20</v>
      </c>
      <c r="K418" s="1">
        <v>1</v>
      </c>
      <c r="L418" s="1" t="s">
        <v>20</v>
      </c>
      <c r="M418" s="1" t="s">
        <v>26</v>
      </c>
      <c r="N418" s="1">
        <v>6</v>
      </c>
      <c r="O418" s="3" t="s">
        <v>22</v>
      </c>
    </row>
    <row r="419" spans="1:15" x14ac:dyDescent="0.25">
      <c r="A419" s="2" t="s">
        <v>456</v>
      </c>
      <c r="B419" s="1">
        <v>45</v>
      </c>
      <c r="C419" s="1" t="s">
        <v>28</v>
      </c>
      <c r="D419" s="1" t="s">
        <v>17</v>
      </c>
      <c r="E419" s="1" t="s">
        <v>38</v>
      </c>
      <c r="F419" s="1">
        <v>65214</v>
      </c>
      <c r="G419" s="14">
        <v>1</v>
      </c>
      <c r="H419" s="1">
        <v>1</v>
      </c>
      <c r="I419" s="1">
        <v>3</v>
      </c>
      <c r="J419" s="1" t="s">
        <v>20</v>
      </c>
      <c r="K419" s="1">
        <v>7</v>
      </c>
      <c r="L419" s="1" t="s">
        <v>20</v>
      </c>
      <c r="M419" s="1" t="s">
        <v>26</v>
      </c>
      <c r="N419" s="1">
        <v>17</v>
      </c>
      <c r="O419" s="3" t="s">
        <v>36</v>
      </c>
    </row>
    <row r="420" spans="1:15" x14ac:dyDescent="0.25">
      <c r="A420" s="2" t="s">
        <v>457</v>
      </c>
      <c r="B420" s="1">
        <v>52</v>
      </c>
      <c r="C420" s="1" t="s">
        <v>16</v>
      </c>
      <c r="D420" s="1" t="s">
        <v>51</v>
      </c>
      <c r="E420" s="1" t="s">
        <v>41</v>
      </c>
      <c r="F420" s="1">
        <v>83621</v>
      </c>
      <c r="G420" s="14">
        <v>4</v>
      </c>
      <c r="H420" s="1">
        <v>5</v>
      </c>
      <c r="I420" s="1">
        <v>1</v>
      </c>
      <c r="J420" s="1" t="s">
        <v>19</v>
      </c>
      <c r="K420" s="1">
        <v>7</v>
      </c>
      <c r="L420" s="1" t="s">
        <v>20</v>
      </c>
      <c r="M420" s="1" t="s">
        <v>30</v>
      </c>
      <c r="N420" s="1">
        <v>67</v>
      </c>
      <c r="O420" s="3" t="s">
        <v>42</v>
      </c>
    </row>
    <row r="421" spans="1:15" x14ac:dyDescent="0.25">
      <c r="A421" s="2" t="s">
        <v>458</v>
      </c>
      <c r="B421" s="1">
        <v>31</v>
      </c>
      <c r="C421" s="1" t="s">
        <v>16</v>
      </c>
      <c r="D421" s="1" t="s">
        <v>29</v>
      </c>
      <c r="E421" s="1" t="s">
        <v>38</v>
      </c>
      <c r="F421" s="1">
        <v>64125</v>
      </c>
      <c r="G421" s="14">
        <v>3</v>
      </c>
      <c r="H421" s="1">
        <v>3</v>
      </c>
      <c r="I421" s="1">
        <v>2</v>
      </c>
      <c r="J421" s="1" t="s">
        <v>20</v>
      </c>
      <c r="K421" s="1">
        <v>1</v>
      </c>
      <c r="L421" s="1" t="s">
        <v>20</v>
      </c>
      <c r="M421" s="1" t="s">
        <v>30</v>
      </c>
      <c r="N421" s="1">
        <v>8</v>
      </c>
      <c r="O421" s="3" t="s">
        <v>31</v>
      </c>
    </row>
    <row r="422" spans="1:15" x14ac:dyDescent="0.25">
      <c r="A422" s="2" t="s">
        <v>459</v>
      </c>
      <c r="B422" s="1">
        <v>38</v>
      </c>
      <c r="C422" s="1" t="s">
        <v>16</v>
      </c>
      <c r="D422" s="1" t="s">
        <v>51</v>
      </c>
      <c r="E422" s="1" t="s">
        <v>18</v>
      </c>
      <c r="F422" s="1">
        <v>69491</v>
      </c>
      <c r="G422" s="14">
        <v>2</v>
      </c>
      <c r="H422" s="1">
        <v>3</v>
      </c>
      <c r="I422" s="1">
        <v>4</v>
      </c>
      <c r="J422" s="1" t="s">
        <v>19</v>
      </c>
      <c r="K422" s="1">
        <v>13</v>
      </c>
      <c r="L422" s="1" t="s">
        <v>19</v>
      </c>
      <c r="M422" s="1" t="s">
        <v>26</v>
      </c>
      <c r="N422" s="1">
        <v>24</v>
      </c>
      <c r="O422" s="3" t="s">
        <v>42</v>
      </c>
    </row>
    <row r="423" spans="1:15" x14ac:dyDescent="0.25">
      <c r="A423" s="2" t="s">
        <v>460</v>
      </c>
      <c r="B423" s="1">
        <v>40</v>
      </c>
      <c r="C423" s="1" t="s">
        <v>28</v>
      </c>
      <c r="D423" s="1" t="s">
        <v>49</v>
      </c>
      <c r="E423" s="1" t="s">
        <v>25</v>
      </c>
      <c r="F423" s="1">
        <v>35271</v>
      </c>
      <c r="G423" s="14">
        <v>2</v>
      </c>
      <c r="H423" s="1">
        <v>2</v>
      </c>
      <c r="I423" s="1">
        <v>5</v>
      </c>
      <c r="J423" s="1" t="s">
        <v>19</v>
      </c>
      <c r="K423" s="1">
        <v>4</v>
      </c>
      <c r="L423" s="1" t="s">
        <v>20</v>
      </c>
      <c r="M423" s="1" t="s">
        <v>26</v>
      </c>
      <c r="N423" s="1">
        <v>72</v>
      </c>
      <c r="O423" s="3" t="s">
        <v>44</v>
      </c>
    </row>
    <row r="424" spans="1:15" x14ac:dyDescent="0.25">
      <c r="A424" s="2" t="s">
        <v>461</v>
      </c>
      <c r="B424" s="1">
        <v>48</v>
      </c>
      <c r="C424" s="1" t="s">
        <v>16</v>
      </c>
      <c r="D424" s="1" t="s">
        <v>17</v>
      </c>
      <c r="E424" s="1" t="s">
        <v>25</v>
      </c>
      <c r="F424" s="1">
        <v>38715</v>
      </c>
      <c r="G424" s="14">
        <v>3</v>
      </c>
      <c r="H424" s="1">
        <v>1</v>
      </c>
      <c r="I424" s="1">
        <v>5</v>
      </c>
      <c r="J424" s="1" t="s">
        <v>19</v>
      </c>
      <c r="K424" s="1">
        <v>5</v>
      </c>
      <c r="L424" s="1" t="s">
        <v>20</v>
      </c>
      <c r="M424" s="1" t="s">
        <v>21</v>
      </c>
      <c r="N424" s="1">
        <v>8</v>
      </c>
      <c r="O424" s="3" t="s">
        <v>36</v>
      </c>
    </row>
    <row r="425" spans="1:15" x14ac:dyDescent="0.25">
      <c r="A425" s="2" t="s">
        <v>462</v>
      </c>
      <c r="B425" s="1">
        <v>47</v>
      </c>
      <c r="C425" s="1" t="s">
        <v>28</v>
      </c>
      <c r="D425" s="1" t="s">
        <v>29</v>
      </c>
      <c r="E425" s="1" t="s">
        <v>33</v>
      </c>
      <c r="F425" s="1">
        <v>115728</v>
      </c>
      <c r="G425" s="14">
        <v>3</v>
      </c>
      <c r="H425" s="1">
        <v>2</v>
      </c>
      <c r="I425" s="1">
        <v>2</v>
      </c>
      <c r="J425" s="1" t="s">
        <v>19</v>
      </c>
      <c r="K425" s="1">
        <v>4</v>
      </c>
      <c r="L425" s="1" t="s">
        <v>19</v>
      </c>
      <c r="M425" s="1" t="s">
        <v>21</v>
      </c>
      <c r="N425" s="1">
        <v>39</v>
      </c>
      <c r="O425" s="3" t="s">
        <v>31</v>
      </c>
    </row>
    <row r="426" spans="1:15" x14ac:dyDescent="0.25">
      <c r="A426" s="2" t="s">
        <v>463</v>
      </c>
      <c r="B426" s="1">
        <v>57</v>
      </c>
      <c r="C426" s="1" t="s">
        <v>16</v>
      </c>
      <c r="D426" s="1" t="s">
        <v>24</v>
      </c>
      <c r="E426" s="1" t="s">
        <v>41</v>
      </c>
      <c r="F426" s="1">
        <v>48266</v>
      </c>
      <c r="G426" s="14">
        <v>1</v>
      </c>
      <c r="H426" s="1">
        <v>3</v>
      </c>
      <c r="I426" s="1">
        <v>1</v>
      </c>
      <c r="J426" s="1" t="s">
        <v>20</v>
      </c>
      <c r="K426" s="1">
        <v>4</v>
      </c>
      <c r="L426" s="1" t="s">
        <v>20</v>
      </c>
      <c r="M426" s="1" t="s">
        <v>26</v>
      </c>
      <c r="N426" s="1">
        <v>52</v>
      </c>
      <c r="O426" s="3" t="s">
        <v>44</v>
      </c>
    </row>
    <row r="427" spans="1:15" x14ac:dyDescent="0.25">
      <c r="A427" s="2" t="s">
        <v>464</v>
      </c>
      <c r="B427" s="1">
        <v>45</v>
      </c>
      <c r="C427" s="1" t="s">
        <v>28</v>
      </c>
      <c r="D427" s="1" t="s">
        <v>49</v>
      </c>
      <c r="E427" s="1" t="s">
        <v>41</v>
      </c>
      <c r="F427" s="1">
        <v>39467</v>
      </c>
      <c r="G427" s="14">
        <v>2</v>
      </c>
      <c r="H427" s="1">
        <v>2</v>
      </c>
      <c r="I427" s="1">
        <v>1</v>
      </c>
      <c r="J427" s="1" t="s">
        <v>20</v>
      </c>
      <c r="K427" s="1">
        <v>0</v>
      </c>
      <c r="L427" s="1" t="s">
        <v>20</v>
      </c>
      <c r="M427" s="1" t="s">
        <v>30</v>
      </c>
      <c r="N427" s="1">
        <v>33</v>
      </c>
      <c r="O427" s="3" t="s">
        <v>44</v>
      </c>
    </row>
    <row r="428" spans="1:15" x14ac:dyDescent="0.25">
      <c r="A428" s="2" t="s">
        <v>465</v>
      </c>
      <c r="B428" s="1">
        <v>34</v>
      </c>
      <c r="C428" s="1" t="s">
        <v>16</v>
      </c>
      <c r="D428" s="1" t="s">
        <v>51</v>
      </c>
      <c r="E428" s="1" t="s">
        <v>33</v>
      </c>
      <c r="F428" s="1">
        <v>98879</v>
      </c>
      <c r="G428" s="14">
        <v>4</v>
      </c>
      <c r="H428" s="1">
        <v>3</v>
      </c>
      <c r="I428" s="1">
        <v>4</v>
      </c>
      <c r="J428" s="1" t="s">
        <v>19</v>
      </c>
      <c r="K428" s="1">
        <v>13</v>
      </c>
      <c r="L428" s="1" t="s">
        <v>20</v>
      </c>
      <c r="M428" s="1" t="s">
        <v>21</v>
      </c>
      <c r="N428" s="1">
        <v>53</v>
      </c>
      <c r="O428" s="3" t="s">
        <v>36</v>
      </c>
    </row>
    <row r="429" spans="1:15" x14ac:dyDescent="0.25">
      <c r="A429" s="2" t="s">
        <v>466</v>
      </c>
      <c r="B429" s="1">
        <v>46</v>
      </c>
      <c r="C429" s="1" t="s">
        <v>16</v>
      </c>
      <c r="D429" s="1" t="s">
        <v>24</v>
      </c>
      <c r="E429" s="1" t="s">
        <v>35</v>
      </c>
      <c r="F429" s="1">
        <v>77193</v>
      </c>
      <c r="G429" s="14">
        <v>4</v>
      </c>
      <c r="H429" s="1">
        <v>1</v>
      </c>
      <c r="I429" s="1">
        <v>2</v>
      </c>
      <c r="J429" s="1" t="s">
        <v>20</v>
      </c>
      <c r="K429" s="1">
        <v>1</v>
      </c>
      <c r="L429" s="1" t="s">
        <v>20</v>
      </c>
      <c r="M429" s="1" t="s">
        <v>26</v>
      </c>
      <c r="N429" s="1">
        <v>11</v>
      </c>
      <c r="O429" s="3" t="s">
        <v>44</v>
      </c>
    </row>
    <row r="430" spans="1:15" x14ac:dyDescent="0.25">
      <c r="A430" s="2" t="s">
        <v>467</v>
      </c>
      <c r="B430" s="1">
        <v>39</v>
      </c>
      <c r="C430" s="1" t="s">
        <v>28</v>
      </c>
      <c r="D430" s="1" t="s">
        <v>49</v>
      </c>
      <c r="E430" s="1" t="s">
        <v>18</v>
      </c>
      <c r="F430" s="1">
        <v>119407</v>
      </c>
      <c r="G430" s="14">
        <v>3</v>
      </c>
      <c r="H430" s="1">
        <v>4</v>
      </c>
      <c r="I430" s="1">
        <v>3</v>
      </c>
      <c r="J430" s="1" t="s">
        <v>20</v>
      </c>
      <c r="K430" s="1">
        <v>9</v>
      </c>
      <c r="L430" s="1" t="s">
        <v>19</v>
      </c>
      <c r="M430" s="1" t="s">
        <v>26</v>
      </c>
      <c r="N430" s="1">
        <v>71</v>
      </c>
      <c r="O430" s="3" t="s">
        <v>44</v>
      </c>
    </row>
    <row r="431" spans="1:15" x14ac:dyDescent="0.25">
      <c r="A431" s="2" t="s">
        <v>468</v>
      </c>
      <c r="B431" s="1">
        <v>50</v>
      </c>
      <c r="C431" s="1" t="s">
        <v>28</v>
      </c>
      <c r="D431" s="1" t="s">
        <v>40</v>
      </c>
      <c r="E431" s="1" t="s">
        <v>38</v>
      </c>
      <c r="F431" s="1">
        <v>83622</v>
      </c>
      <c r="G431" s="14">
        <v>1</v>
      </c>
      <c r="H431" s="1">
        <v>2</v>
      </c>
      <c r="I431" s="1">
        <v>5</v>
      </c>
      <c r="J431" s="1" t="s">
        <v>19</v>
      </c>
      <c r="K431" s="1">
        <v>12</v>
      </c>
      <c r="L431" s="1" t="s">
        <v>20</v>
      </c>
      <c r="M431" s="1" t="s">
        <v>30</v>
      </c>
      <c r="N431" s="1">
        <v>62</v>
      </c>
      <c r="O431" s="3" t="s">
        <v>22</v>
      </c>
    </row>
    <row r="432" spans="1:15" x14ac:dyDescent="0.25">
      <c r="A432" s="2" t="s">
        <v>469</v>
      </c>
      <c r="B432" s="1">
        <v>32</v>
      </c>
      <c r="C432" s="1" t="s">
        <v>28</v>
      </c>
      <c r="D432" s="1" t="s">
        <v>24</v>
      </c>
      <c r="E432" s="1" t="s">
        <v>38</v>
      </c>
      <c r="F432" s="1">
        <v>44467</v>
      </c>
      <c r="G432" s="14">
        <v>4</v>
      </c>
      <c r="H432" s="1">
        <v>1</v>
      </c>
      <c r="I432" s="1">
        <v>3</v>
      </c>
      <c r="J432" s="1" t="s">
        <v>20</v>
      </c>
      <c r="K432" s="1">
        <v>20</v>
      </c>
      <c r="L432" s="1" t="s">
        <v>19</v>
      </c>
      <c r="M432" s="1" t="s">
        <v>26</v>
      </c>
      <c r="N432" s="1">
        <v>20</v>
      </c>
      <c r="O432" s="3" t="s">
        <v>22</v>
      </c>
    </row>
    <row r="433" spans="1:15" x14ac:dyDescent="0.25">
      <c r="A433" s="2" t="s">
        <v>470</v>
      </c>
      <c r="B433" s="1">
        <v>28</v>
      </c>
      <c r="C433" s="1" t="s">
        <v>28</v>
      </c>
      <c r="D433" s="1" t="s">
        <v>17</v>
      </c>
      <c r="E433" s="1" t="s">
        <v>18</v>
      </c>
      <c r="F433" s="1">
        <v>29181</v>
      </c>
      <c r="G433" s="14">
        <v>5</v>
      </c>
      <c r="H433" s="1">
        <v>4</v>
      </c>
      <c r="I433" s="1">
        <v>5</v>
      </c>
      <c r="J433" s="1" t="s">
        <v>19</v>
      </c>
      <c r="K433" s="1">
        <v>12</v>
      </c>
      <c r="L433" s="1" t="s">
        <v>20</v>
      </c>
      <c r="M433" s="1" t="s">
        <v>21</v>
      </c>
      <c r="N433" s="1">
        <v>26</v>
      </c>
      <c r="O433" s="3" t="s">
        <v>36</v>
      </c>
    </row>
    <row r="434" spans="1:15" x14ac:dyDescent="0.25">
      <c r="A434" s="2" t="s">
        <v>471</v>
      </c>
      <c r="B434" s="1">
        <v>57</v>
      </c>
      <c r="C434" s="1" t="s">
        <v>16</v>
      </c>
      <c r="D434" s="1" t="s">
        <v>51</v>
      </c>
      <c r="E434" s="1" t="s">
        <v>41</v>
      </c>
      <c r="F434" s="1">
        <v>41444</v>
      </c>
      <c r="G434" s="14">
        <v>1</v>
      </c>
      <c r="H434" s="1">
        <v>4</v>
      </c>
      <c r="I434" s="1">
        <v>3</v>
      </c>
      <c r="J434" s="1" t="s">
        <v>20</v>
      </c>
      <c r="K434" s="1">
        <v>14</v>
      </c>
      <c r="L434" s="1" t="s">
        <v>20</v>
      </c>
      <c r="M434" s="1" t="s">
        <v>26</v>
      </c>
      <c r="N434" s="1">
        <v>28</v>
      </c>
      <c r="O434" s="3" t="s">
        <v>22</v>
      </c>
    </row>
    <row r="435" spans="1:15" x14ac:dyDescent="0.25">
      <c r="A435" s="2" t="s">
        <v>472</v>
      </c>
      <c r="B435" s="1">
        <v>29</v>
      </c>
      <c r="C435" s="1" t="s">
        <v>16</v>
      </c>
      <c r="D435" s="1" t="s">
        <v>40</v>
      </c>
      <c r="E435" s="1" t="s">
        <v>25</v>
      </c>
      <c r="F435" s="1">
        <v>118321</v>
      </c>
      <c r="G435" s="14">
        <v>3</v>
      </c>
      <c r="H435" s="1">
        <v>1</v>
      </c>
      <c r="I435" s="1">
        <v>4</v>
      </c>
      <c r="J435" s="1" t="s">
        <v>20</v>
      </c>
      <c r="K435" s="1">
        <v>15</v>
      </c>
      <c r="L435" s="1" t="s">
        <v>19</v>
      </c>
      <c r="M435" s="1" t="s">
        <v>26</v>
      </c>
      <c r="N435" s="1">
        <v>68</v>
      </c>
      <c r="O435" s="3" t="s">
        <v>44</v>
      </c>
    </row>
    <row r="436" spans="1:15" x14ac:dyDescent="0.25">
      <c r="A436" s="2" t="s">
        <v>473</v>
      </c>
      <c r="B436" s="1">
        <v>34</v>
      </c>
      <c r="C436" s="1" t="s">
        <v>28</v>
      </c>
      <c r="D436" s="1" t="s">
        <v>49</v>
      </c>
      <c r="E436" s="1" t="s">
        <v>33</v>
      </c>
      <c r="F436" s="1">
        <v>75917</v>
      </c>
      <c r="G436" s="14">
        <v>1</v>
      </c>
      <c r="H436" s="1">
        <v>5</v>
      </c>
      <c r="I436" s="1">
        <v>5</v>
      </c>
      <c r="J436" s="1" t="s">
        <v>19</v>
      </c>
      <c r="K436" s="1">
        <v>7</v>
      </c>
      <c r="L436" s="1" t="s">
        <v>20</v>
      </c>
      <c r="M436" s="1" t="s">
        <v>26</v>
      </c>
      <c r="N436" s="1">
        <v>76</v>
      </c>
      <c r="O436" s="3" t="s">
        <v>44</v>
      </c>
    </row>
    <row r="437" spans="1:15" x14ac:dyDescent="0.25">
      <c r="A437" s="2" t="s">
        <v>474</v>
      </c>
      <c r="B437" s="1">
        <v>24</v>
      </c>
      <c r="C437" s="1" t="s">
        <v>16</v>
      </c>
      <c r="D437" s="1" t="s">
        <v>51</v>
      </c>
      <c r="E437" s="1" t="s">
        <v>35</v>
      </c>
      <c r="F437" s="1">
        <v>103626</v>
      </c>
      <c r="G437" s="14">
        <v>3</v>
      </c>
      <c r="H437" s="1">
        <v>1</v>
      </c>
      <c r="I437" s="1">
        <v>2</v>
      </c>
      <c r="J437" s="1" t="s">
        <v>19</v>
      </c>
      <c r="K437" s="1">
        <v>18</v>
      </c>
      <c r="L437" s="1" t="s">
        <v>20</v>
      </c>
      <c r="M437" s="1" t="s">
        <v>30</v>
      </c>
      <c r="N437" s="1">
        <v>16</v>
      </c>
      <c r="O437" s="3" t="s">
        <v>22</v>
      </c>
    </row>
    <row r="438" spans="1:15" x14ac:dyDescent="0.25">
      <c r="A438" s="2" t="s">
        <v>475</v>
      </c>
      <c r="B438" s="1">
        <v>27</v>
      </c>
      <c r="C438" s="1" t="s">
        <v>28</v>
      </c>
      <c r="D438" s="1" t="s">
        <v>51</v>
      </c>
      <c r="E438" s="1" t="s">
        <v>41</v>
      </c>
      <c r="F438" s="1">
        <v>106092</v>
      </c>
      <c r="G438" s="14">
        <v>3</v>
      </c>
      <c r="H438" s="1">
        <v>5</v>
      </c>
      <c r="I438" s="1">
        <v>5</v>
      </c>
      <c r="J438" s="1" t="s">
        <v>19</v>
      </c>
      <c r="K438" s="1">
        <v>14</v>
      </c>
      <c r="L438" s="1" t="s">
        <v>20</v>
      </c>
      <c r="M438" s="1" t="s">
        <v>21</v>
      </c>
      <c r="N438" s="1">
        <v>16</v>
      </c>
      <c r="O438" s="3" t="s">
        <v>36</v>
      </c>
    </row>
    <row r="439" spans="1:15" x14ac:dyDescent="0.25">
      <c r="A439" s="2" t="s">
        <v>476</v>
      </c>
      <c r="B439" s="1">
        <v>39</v>
      </c>
      <c r="C439" s="1" t="s">
        <v>28</v>
      </c>
      <c r="D439" s="1" t="s">
        <v>49</v>
      </c>
      <c r="E439" s="1" t="s">
        <v>35</v>
      </c>
      <c r="F439" s="1">
        <v>117410</v>
      </c>
      <c r="G439" s="14">
        <v>4</v>
      </c>
      <c r="H439" s="1">
        <v>5</v>
      </c>
      <c r="I439" s="1">
        <v>1</v>
      </c>
      <c r="J439" s="1" t="s">
        <v>20</v>
      </c>
      <c r="K439" s="1">
        <v>15</v>
      </c>
      <c r="L439" s="1" t="s">
        <v>19</v>
      </c>
      <c r="M439" s="1" t="s">
        <v>21</v>
      </c>
      <c r="N439" s="1">
        <v>40</v>
      </c>
      <c r="O439" s="3" t="s">
        <v>36</v>
      </c>
    </row>
    <row r="440" spans="1:15" x14ac:dyDescent="0.25">
      <c r="A440" s="2" t="s">
        <v>477</v>
      </c>
      <c r="B440" s="1">
        <v>39</v>
      </c>
      <c r="C440" s="1" t="s">
        <v>28</v>
      </c>
      <c r="D440" s="1" t="s">
        <v>24</v>
      </c>
      <c r="E440" s="1" t="s">
        <v>41</v>
      </c>
      <c r="F440" s="1">
        <v>109203</v>
      </c>
      <c r="G440" s="14">
        <v>2</v>
      </c>
      <c r="H440" s="1">
        <v>5</v>
      </c>
      <c r="I440" s="1">
        <v>1</v>
      </c>
      <c r="J440" s="1" t="s">
        <v>19</v>
      </c>
      <c r="K440" s="1">
        <v>18</v>
      </c>
      <c r="L440" s="1" t="s">
        <v>19</v>
      </c>
      <c r="M440" s="1" t="s">
        <v>30</v>
      </c>
      <c r="N440" s="1">
        <v>41</v>
      </c>
      <c r="O440" s="3" t="s">
        <v>42</v>
      </c>
    </row>
    <row r="441" spans="1:15" x14ac:dyDescent="0.25">
      <c r="A441" s="2" t="s">
        <v>478</v>
      </c>
      <c r="B441" s="1">
        <v>41</v>
      </c>
      <c r="C441" s="1" t="s">
        <v>28</v>
      </c>
      <c r="D441" s="1" t="s">
        <v>24</v>
      </c>
      <c r="E441" s="1" t="s">
        <v>25</v>
      </c>
      <c r="F441" s="1">
        <v>99689</v>
      </c>
      <c r="G441" s="14">
        <v>3</v>
      </c>
      <c r="H441" s="1">
        <v>2</v>
      </c>
      <c r="I441" s="1">
        <v>5</v>
      </c>
      <c r="J441" s="1" t="s">
        <v>20</v>
      </c>
      <c r="K441" s="1">
        <v>16</v>
      </c>
      <c r="L441" s="1" t="s">
        <v>20</v>
      </c>
      <c r="M441" s="1" t="s">
        <v>30</v>
      </c>
      <c r="N441" s="1">
        <v>28</v>
      </c>
      <c r="O441" s="3" t="s">
        <v>31</v>
      </c>
    </row>
    <row r="442" spans="1:15" x14ac:dyDescent="0.25">
      <c r="A442" s="2" t="s">
        <v>479</v>
      </c>
      <c r="B442" s="1">
        <v>35</v>
      </c>
      <c r="C442" s="1" t="s">
        <v>28</v>
      </c>
      <c r="D442" s="1" t="s">
        <v>51</v>
      </c>
      <c r="E442" s="1" t="s">
        <v>35</v>
      </c>
      <c r="F442" s="1">
        <v>33493</v>
      </c>
      <c r="G442" s="14">
        <v>1</v>
      </c>
      <c r="H442" s="1">
        <v>4</v>
      </c>
      <c r="I442" s="1">
        <v>1</v>
      </c>
      <c r="J442" s="1" t="s">
        <v>19</v>
      </c>
      <c r="K442" s="1">
        <v>19</v>
      </c>
      <c r="L442" s="1" t="s">
        <v>20</v>
      </c>
      <c r="M442" s="1" t="s">
        <v>30</v>
      </c>
      <c r="N442" s="1">
        <v>10</v>
      </c>
      <c r="O442" s="3" t="s">
        <v>36</v>
      </c>
    </row>
    <row r="443" spans="1:15" x14ac:dyDescent="0.25">
      <c r="A443" s="2" t="s">
        <v>480</v>
      </c>
      <c r="B443" s="1">
        <v>39</v>
      </c>
      <c r="C443" s="1" t="s">
        <v>16</v>
      </c>
      <c r="D443" s="1" t="s">
        <v>40</v>
      </c>
      <c r="E443" s="1" t="s">
        <v>38</v>
      </c>
      <c r="F443" s="1">
        <v>44370</v>
      </c>
      <c r="G443" s="14">
        <v>3</v>
      </c>
      <c r="H443" s="1">
        <v>3</v>
      </c>
      <c r="I443" s="1">
        <v>1</v>
      </c>
      <c r="J443" s="1" t="s">
        <v>20</v>
      </c>
      <c r="K443" s="1">
        <v>9</v>
      </c>
      <c r="L443" s="1" t="s">
        <v>20</v>
      </c>
      <c r="M443" s="1" t="s">
        <v>21</v>
      </c>
      <c r="N443" s="1">
        <v>19</v>
      </c>
      <c r="O443" s="3" t="s">
        <v>36</v>
      </c>
    </row>
    <row r="444" spans="1:15" x14ac:dyDescent="0.25">
      <c r="A444" s="2" t="s">
        <v>481</v>
      </c>
      <c r="B444" s="1">
        <v>42</v>
      </c>
      <c r="C444" s="1" t="s">
        <v>28</v>
      </c>
      <c r="D444" s="1" t="s">
        <v>17</v>
      </c>
      <c r="E444" s="1" t="s">
        <v>25</v>
      </c>
      <c r="F444" s="1">
        <v>98739</v>
      </c>
      <c r="G444" s="14">
        <v>1</v>
      </c>
      <c r="H444" s="1">
        <v>2</v>
      </c>
      <c r="I444" s="1">
        <v>2</v>
      </c>
      <c r="J444" s="1" t="s">
        <v>20</v>
      </c>
      <c r="K444" s="1">
        <v>10</v>
      </c>
      <c r="L444" s="1" t="s">
        <v>20</v>
      </c>
      <c r="M444" s="1" t="s">
        <v>30</v>
      </c>
      <c r="N444" s="1">
        <v>9</v>
      </c>
      <c r="O444" s="3" t="s">
        <v>44</v>
      </c>
    </row>
    <row r="445" spans="1:15" x14ac:dyDescent="0.25">
      <c r="A445" s="2" t="s">
        <v>482</v>
      </c>
      <c r="B445" s="1">
        <v>51</v>
      </c>
      <c r="C445" s="1" t="s">
        <v>16</v>
      </c>
      <c r="D445" s="1" t="s">
        <v>17</v>
      </c>
      <c r="E445" s="1" t="s">
        <v>33</v>
      </c>
      <c r="F445" s="1">
        <v>88381</v>
      </c>
      <c r="G445" s="14">
        <v>3</v>
      </c>
      <c r="H445" s="1">
        <v>4</v>
      </c>
      <c r="I445" s="1">
        <v>4</v>
      </c>
      <c r="J445" s="1" t="s">
        <v>19</v>
      </c>
      <c r="K445" s="1">
        <v>16</v>
      </c>
      <c r="L445" s="1" t="s">
        <v>20</v>
      </c>
      <c r="M445" s="1" t="s">
        <v>26</v>
      </c>
      <c r="N445" s="1">
        <v>45</v>
      </c>
      <c r="O445" s="3" t="s">
        <v>31</v>
      </c>
    </row>
    <row r="446" spans="1:15" x14ac:dyDescent="0.25">
      <c r="A446" s="2" t="s">
        <v>483</v>
      </c>
      <c r="B446" s="1">
        <v>55</v>
      </c>
      <c r="C446" s="1" t="s">
        <v>16</v>
      </c>
      <c r="D446" s="1" t="s">
        <v>51</v>
      </c>
      <c r="E446" s="1" t="s">
        <v>25</v>
      </c>
      <c r="F446" s="1">
        <v>107848</v>
      </c>
      <c r="G446" s="14">
        <v>3</v>
      </c>
      <c r="H446" s="1">
        <v>3</v>
      </c>
      <c r="I446" s="1">
        <v>1</v>
      </c>
      <c r="J446" s="1" t="s">
        <v>19</v>
      </c>
      <c r="K446" s="1">
        <v>8</v>
      </c>
      <c r="L446" s="1" t="s">
        <v>19</v>
      </c>
      <c r="M446" s="1" t="s">
        <v>30</v>
      </c>
      <c r="N446" s="1">
        <v>53</v>
      </c>
      <c r="O446" s="3" t="s">
        <v>31</v>
      </c>
    </row>
    <row r="447" spans="1:15" x14ac:dyDescent="0.25">
      <c r="A447" s="2" t="s">
        <v>484</v>
      </c>
      <c r="B447" s="1">
        <v>31</v>
      </c>
      <c r="C447" s="1" t="s">
        <v>28</v>
      </c>
      <c r="D447" s="1" t="s">
        <v>51</v>
      </c>
      <c r="E447" s="1" t="s">
        <v>25</v>
      </c>
      <c r="F447" s="1">
        <v>33315</v>
      </c>
      <c r="G447" s="14">
        <v>3</v>
      </c>
      <c r="H447" s="1">
        <v>3</v>
      </c>
      <c r="I447" s="1">
        <v>1</v>
      </c>
      <c r="J447" s="1" t="s">
        <v>20</v>
      </c>
      <c r="K447" s="1">
        <v>13</v>
      </c>
      <c r="L447" s="1" t="s">
        <v>19</v>
      </c>
      <c r="M447" s="1" t="s">
        <v>30</v>
      </c>
      <c r="N447" s="1">
        <v>35</v>
      </c>
      <c r="O447" s="3" t="s">
        <v>36</v>
      </c>
    </row>
    <row r="448" spans="1:15" x14ac:dyDescent="0.25">
      <c r="A448" s="2" t="s">
        <v>485</v>
      </c>
      <c r="B448" s="1">
        <v>49</v>
      </c>
      <c r="C448" s="1" t="s">
        <v>28</v>
      </c>
      <c r="D448" s="1" t="s">
        <v>51</v>
      </c>
      <c r="E448" s="1" t="s">
        <v>25</v>
      </c>
      <c r="F448" s="1">
        <v>57625</v>
      </c>
      <c r="G448" s="14">
        <v>2</v>
      </c>
      <c r="H448" s="1">
        <v>1</v>
      </c>
      <c r="I448" s="1">
        <v>3</v>
      </c>
      <c r="J448" s="1" t="s">
        <v>19</v>
      </c>
      <c r="K448" s="1">
        <v>6</v>
      </c>
      <c r="L448" s="1" t="s">
        <v>19</v>
      </c>
      <c r="M448" s="1" t="s">
        <v>30</v>
      </c>
      <c r="N448" s="1">
        <v>69</v>
      </c>
      <c r="O448" s="3" t="s">
        <v>22</v>
      </c>
    </row>
    <row r="449" spans="1:15" x14ac:dyDescent="0.25">
      <c r="A449" s="2" t="s">
        <v>486</v>
      </c>
      <c r="B449" s="1">
        <v>51</v>
      </c>
      <c r="C449" s="1" t="s">
        <v>16</v>
      </c>
      <c r="D449" s="1" t="s">
        <v>51</v>
      </c>
      <c r="E449" s="1" t="s">
        <v>18</v>
      </c>
      <c r="F449" s="1">
        <v>81369</v>
      </c>
      <c r="G449" s="14">
        <v>5</v>
      </c>
      <c r="H449" s="1">
        <v>3</v>
      </c>
      <c r="I449" s="1">
        <v>3</v>
      </c>
      <c r="J449" s="1" t="s">
        <v>19</v>
      </c>
      <c r="K449" s="1">
        <v>3</v>
      </c>
      <c r="L449" s="1" t="s">
        <v>19</v>
      </c>
      <c r="M449" s="1" t="s">
        <v>21</v>
      </c>
      <c r="N449" s="1">
        <v>9</v>
      </c>
      <c r="O449" s="3" t="s">
        <v>42</v>
      </c>
    </row>
    <row r="450" spans="1:15" x14ac:dyDescent="0.25">
      <c r="A450" s="2" t="s">
        <v>487</v>
      </c>
      <c r="B450" s="1">
        <v>45</v>
      </c>
      <c r="C450" s="1" t="s">
        <v>16</v>
      </c>
      <c r="D450" s="1" t="s">
        <v>40</v>
      </c>
      <c r="E450" s="1" t="s">
        <v>18</v>
      </c>
      <c r="F450" s="1">
        <v>23771</v>
      </c>
      <c r="G450" s="14">
        <v>5</v>
      </c>
      <c r="H450" s="1">
        <v>1</v>
      </c>
      <c r="I450" s="1">
        <v>3</v>
      </c>
      <c r="J450" s="1" t="s">
        <v>20</v>
      </c>
      <c r="K450" s="1">
        <v>1</v>
      </c>
      <c r="L450" s="1" t="s">
        <v>19</v>
      </c>
      <c r="M450" s="1" t="s">
        <v>26</v>
      </c>
      <c r="N450" s="1">
        <v>44</v>
      </c>
      <c r="O450" s="3" t="s">
        <v>22</v>
      </c>
    </row>
    <row r="451" spans="1:15" x14ac:dyDescent="0.25">
      <c r="A451" s="2" t="s">
        <v>488</v>
      </c>
      <c r="B451" s="1">
        <v>57</v>
      </c>
      <c r="C451" s="1" t="s">
        <v>28</v>
      </c>
      <c r="D451" s="1" t="s">
        <v>17</v>
      </c>
      <c r="E451" s="1" t="s">
        <v>41</v>
      </c>
      <c r="F451" s="1">
        <v>60058</v>
      </c>
      <c r="G451" s="14">
        <v>2</v>
      </c>
      <c r="H451" s="1">
        <v>2</v>
      </c>
      <c r="I451" s="1">
        <v>3</v>
      </c>
      <c r="J451" s="1" t="s">
        <v>20</v>
      </c>
      <c r="K451" s="1">
        <v>17</v>
      </c>
      <c r="L451" s="1" t="s">
        <v>20</v>
      </c>
      <c r="M451" s="1" t="s">
        <v>30</v>
      </c>
      <c r="N451" s="1">
        <v>20</v>
      </c>
      <c r="O451" s="3" t="s">
        <v>36</v>
      </c>
    </row>
    <row r="452" spans="1:15" x14ac:dyDescent="0.25">
      <c r="A452" s="2" t="s">
        <v>489</v>
      </c>
      <c r="B452" s="1">
        <v>30</v>
      </c>
      <c r="C452" s="1" t="s">
        <v>16</v>
      </c>
      <c r="D452" s="1" t="s">
        <v>29</v>
      </c>
      <c r="E452" s="1" t="s">
        <v>35</v>
      </c>
      <c r="F452" s="1">
        <v>19999</v>
      </c>
      <c r="G452" s="14">
        <v>5</v>
      </c>
      <c r="H452" s="1">
        <v>5</v>
      </c>
      <c r="I452" s="1">
        <v>5</v>
      </c>
      <c r="J452" s="1" t="s">
        <v>19</v>
      </c>
      <c r="K452" s="1">
        <v>6</v>
      </c>
      <c r="L452" s="1" t="s">
        <v>20</v>
      </c>
      <c r="M452" s="1" t="s">
        <v>26</v>
      </c>
      <c r="N452" s="1">
        <v>45</v>
      </c>
      <c r="O452" s="3" t="s">
        <v>36</v>
      </c>
    </row>
    <row r="453" spans="1:15" x14ac:dyDescent="0.25">
      <c r="A453" s="2" t="s">
        <v>490</v>
      </c>
      <c r="B453" s="1">
        <v>30</v>
      </c>
      <c r="C453" s="1" t="s">
        <v>28</v>
      </c>
      <c r="D453" s="1" t="s">
        <v>24</v>
      </c>
      <c r="E453" s="1" t="s">
        <v>41</v>
      </c>
      <c r="F453" s="1">
        <v>40449</v>
      </c>
      <c r="G453" s="14">
        <v>1</v>
      </c>
      <c r="H453" s="1">
        <v>3</v>
      </c>
      <c r="I453" s="1">
        <v>5</v>
      </c>
      <c r="J453" s="1" t="s">
        <v>20</v>
      </c>
      <c r="K453" s="1">
        <v>17</v>
      </c>
      <c r="L453" s="1" t="s">
        <v>20</v>
      </c>
      <c r="M453" s="1" t="s">
        <v>21</v>
      </c>
      <c r="N453" s="1">
        <v>21</v>
      </c>
      <c r="O453" s="3" t="s">
        <v>22</v>
      </c>
    </row>
    <row r="454" spans="1:15" x14ac:dyDescent="0.25">
      <c r="A454" s="2" t="s">
        <v>491</v>
      </c>
      <c r="B454" s="1">
        <v>51</v>
      </c>
      <c r="C454" s="1" t="s">
        <v>16</v>
      </c>
      <c r="D454" s="1" t="s">
        <v>40</v>
      </c>
      <c r="E454" s="1" t="s">
        <v>33</v>
      </c>
      <c r="F454" s="1">
        <v>25051</v>
      </c>
      <c r="G454" s="14">
        <v>1</v>
      </c>
      <c r="H454" s="1">
        <v>4</v>
      </c>
      <c r="I454" s="1">
        <v>4</v>
      </c>
      <c r="J454" s="1" t="s">
        <v>19</v>
      </c>
      <c r="K454" s="1">
        <v>19</v>
      </c>
      <c r="L454" s="1" t="s">
        <v>20</v>
      </c>
      <c r="M454" s="1" t="s">
        <v>26</v>
      </c>
      <c r="N454" s="1">
        <v>50</v>
      </c>
      <c r="O454" s="3" t="s">
        <v>36</v>
      </c>
    </row>
    <row r="455" spans="1:15" x14ac:dyDescent="0.25">
      <c r="A455" s="2" t="s">
        <v>492</v>
      </c>
      <c r="B455" s="1">
        <v>42</v>
      </c>
      <c r="C455" s="1" t="s">
        <v>16</v>
      </c>
      <c r="D455" s="1" t="s">
        <v>17</v>
      </c>
      <c r="E455" s="1" t="s">
        <v>38</v>
      </c>
      <c r="F455" s="1">
        <v>87924</v>
      </c>
      <c r="G455" s="14">
        <v>3</v>
      </c>
      <c r="H455" s="1">
        <v>4</v>
      </c>
      <c r="I455" s="1">
        <v>5</v>
      </c>
      <c r="J455" s="1" t="s">
        <v>19</v>
      </c>
      <c r="K455" s="1">
        <v>2</v>
      </c>
      <c r="L455" s="1" t="s">
        <v>20</v>
      </c>
      <c r="M455" s="1" t="s">
        <v>21</v>
      </c>
      <c r="N455" s="1">
        <v>63</v>
      </c>
      <c r="O455" s="3" t="s">
        <v>36</v>
      </c>
    </row>
    <row r="456" spans="1:15" x14ac:dyDescent="0.25">
      <c r="A456" s="2" t="s">
        <v>493</v>
      </c>
      <c r="B456" s="1">
        <v>50</v>
      </c>
      <c r="C456" s="1" t="s">
        <v>28</v>
      </c>
      <c r="D456" s="1" t="s">
        <v>51</v>
      </c>
      <c r="E456" s="1" t="s">
        <v>41</v>
      </c>
      <c r="F456" s="1">
        <v>36837</v>
      </c>
      <c r="G456" s="14">
        <v>5</v>
      </c>
      <c r="H456" s="1">
        <v>3</v>
      </c>
      <c r="I456" s="1">
        <v>3</v>
      </c>
      <c r="J456" s="1" t="s">
        <v>20</v>
      </c>
      <c r="K456" s="1">
        <v>5</v>
      </c>
      <c r="L456" s="1" t="s">
        <v>20</v>
      </c>
      <c r="M456" s="1" t="s">
        <v>30</v>
      </c>
      <c r="N456" s="1">
        <v>63</v>
      </c>
      <c r="O456" s="3" t="s">
        <v>42</v>
      </c>
    </row>
    <row r="457" spans="1:15" x14ac:dyDescent="0.25">
      <c r="A457" s="2" t="s">
        <v>494</v>
      </c>
      <c r="B457" s="1">
        <v>22</v>
      </c>
      <c r="C457" s="1" t="s">
        <v>16</v>
      </c>
      <c r="D457" s="1" t="s">
        <v>49</v>
      </c>
      <c r="E457" s="1" t="s">
        <v>35</v>
      </c>
      <c r="F457" s="1">
        <v>68925</v>
      </c>
      <c r="G457" s="14">
        <v>4</v>
      </c>
      <c r="H457" s="1">
        <v>4</v>
      </c>
      <c r="I457" s="1">
        <v>2</v>
      </c>
      <c r="J457" s="1" t="s">
        <v>20</v>
      </c>
      <c r="K457" s="1">
        <v>11</v>
      </c>
      <c r="L457" s="1" t="s">
        <v>19</v>
      </c>
      <c r="M457" s="1" t="s">
        <v>26</v>
      </c>
      <c r="N457" s="1">
        <v>18</v>
      </c>
      <c r="O457" s="3" t="s">
        <v>42</v>
      </c>
    </row>
    <row r="458" spans="1:15" x14ac:dyDescent="0.25">
      <c r="A458" s="2" t="s">
        <v>495</v>
      </c>
      <c r="B458" s="1">
        <v>27</v>
      </c>
      <c r="C458" s="1" t="s">
        <v>28</v>
      </c>
      <c r="D458" s="1" t="s">
        <v>24</v>
      </c>
      <c r="E458" s="1" t="s">
        <v>38</v>
      </c>
      <c r="F458" s="1">
        <v>27296</v>
      </c>
      <c r="G458" s="14">
        <v>3</v>
      </c>
      <c r="H458" s="1">
        <v>5</v>
      </c>
      <c r="I458" s="1">
        <v>3</v>
      </c>
      <c r="J458" s="1" t="s">
        <v>20</v>
      </c>
      <c r="K458" s="1">
        <v>18</v>
      </c>
      <c r="L458" s="1" t="s">
        <v>20</v>
      </c>
      <c r="M458" s="1" t="s">
        <v>21</v>
      </c>
      <c r="N458" s="1">
        <v>36</v>
      </c>
      <c r="O458" s="3" t="s">
        <v>31</v>
      </c>
    </row>
    <row r="459" spans="1:15" x14ac:dyDescent="0.25">
      <c r="A459" s="2" t="s">
        <v>496</v>
      </c>
      <c r="B459" s="1">
        <v>31</v>
      </c>
      <c r="C459" s="1" t="s">
        <v>28</v>
      </c>
      <c r="D459" s="1" t="s">
        <v>49</v>
      </c>
      <c r="E459" s="1" t="s">
        <v>569</v>
      </c>
      <c r="F459" s="1">
        <v>62658</v>
      </c>
      <c r="G459" s="14">
        <v>2</v>
      </c>
      <c r="H459" s="1">
        <v>5</v>
      </c>
      <c r="I459" s="1">
        <v>4</v>
      </c>
      <c r="J459" s="1" t="s">
        <v>20</v>
      </c>
      <c r="K459" s="1">
        <v>18</v>
      </c>
      <c r="L459" s="1" t="s">
        <v>20</v>
      </c>
      <c r="M459" s="1" t="s">
        <v>26</v>
      </c>
      <c r="N459" s="1">
        <v>35</v>
      </c>
      <c r="O459" s="3" t="s">
        <v>44</v>
      </c>
    </row>
    <row r="460" spans="1:15" x14ac:dyDescent="0.25">
      <c r="A460" s="2" t="s">
        <v>497</v>
      </c>
      <c r="B460" s="1">
        <v>25</v>
      </c>
      <c r="C460" s="1" t="s">
        <v>28</v>
      </c>
      <c r="D460" s="1" t="s">
        <v>40</v>
      </c>
      <c r="E460" s="1" t="s">
        <v>25</v>
      </c>
      <c r="F460" s="1">
        <v>96128</v>
      </c>
      <c r="G460" s="14">
        <v>4</v>
      </c>
      <c r="H460" s="1">
        <v>3</v>
      </c>
      <c r="I460" s="1">
        <v>5</v>
      </c>
      <c r="J460" s="1" t="s">
        <v>19</v>
      </c>
      <c r="K460" s="1">
        <v>14</v>
      </c>
      <c r="L460" s="1" t="s">
        <v>19</v>
      </c>
      <c r="M460" s="1" t="s">
        <v>30</v>
      </c>
      <c r="N460" s="1">
        <v>56</v>
      </c>
      <c r="O460" s="3" t="s">
        <v>22</v>
      </c>
    </row>
    <row r="461" spans="1:15" x14ac:dyDescent="0.25">
      <c r="A461" s="2" t="s">
        <v>498</v>
      </c>
      <c r="B461" s="1">
        <v>27</v>
      </c>
      <c r="C461" s="1" t="s">
        <v>28</v>
      </c>
      <c r="D461" s="1" t="s">
        <v>29</v>
      </c>
      <c r="E461" s="1" t="s">
        <v>33</v>
      </c>
      <c r="F461" s="1">
        <v>102540</v>
      </c>
      <c r="G461" s="14">
        <v>1</v>
      </c>
      <c r="H461" s="1">
        <v>3</v>
      </c>
      <c r="I461" s="1">
        <v>2</v>
      </c>
      <c r="J461" s="1" t="s">
        <v>19</v>
      </c>
      <c r="K461" s="1">
        <v>18</v>
      </c>
      <c r="L461" s="1" t="s">
        <v>19</v>
      </c>
      <c r="M461" s="1" t="s">
        <v>21</v>
      </c>
      <c r="N461" s="1">
        <v>24</v>
      </c>
      <c r="O461" s="3" t="s">
        <v>42</v>
      </c>
    </row>
    <row r="462" spans="1:15" x14ac:dyDescent="0.25">
      <c r="A462" s="2" t="s">
        <v>499</v>
      </c>
      <c r="B462" s="1">
        <v>55</v>
      </c>
      <c r="C462" s="1" t="s">
        <v>28</v>
      </c>
      <c r="D462" s="1" t="s">
        <v>49</v>
      </c>
      <c r="E462" s="1" t="s">
        <v>25</v>
      </c>
      <c r="F462" s="1">
        <v>93750</v>
      </c>
      <c r="G462" s="14">
        <v>4</v>
      </c>
      <c r="H462" s="1">
        <v>2</v>
      </c>
      <c r="I462" s="1">
        <v>2</v>
      </c>
      <c r="J462" s="1" t="s">
        <v>20</v>
      </c>
      <c r="K462" s="1">
        <v>9</v>
      </c>
      <c r="L462" s="1" t="s">
        <v>20</v>
      </c>
      <c r="M462" s="1" t="s">
        <v>30</v>
      </c>
      <c r="N462" s="1">
        <v>49</v>
      </c>
      <c r="O462" s="3" t="s">
        <v>22</v>
      </c>
    </row>
    <row r="463" spans="1:15" x14ac:dyDescent="0.25">
      <c r="A463" s="2" t="s">
        <v>500</v>
      </c>
      <c r="B463" s="1">
        <v>58</v>
      </c>
      <c r="C463" s="1" t="s">
        <v>16</v>
      </c>
      <c r="D463" s="1" t="s">
        <v>24</v>
      </c>
      <c r="E463" s="1" t="s">
        <v>25</v>
      </c>
      <c r="F463" s="1">
        <v>70978</v>
      </c>
      <c r="G463" s="14">
        <v>2</v>
      </c>
      <c r="H463" s="1">
        <v>3</v>
      </c>
      <c r="I463" s="1">
        <v>1</v>
      </c>
      <c r="J463" s="1" t="s">
        <v>20</v>
      </c>
      <c r="K463" s="1">
        <v>17</v>
      </c>
      <c r="L463" s="1" t="s">
        <v>19</v>
      </c>
      <c r="M463" s="1" t="s">
        <v>21</v>
      </c>
      <c r="N463" s="1">
        <v>76</v>
      </c>
      <c r="O463" s="3" t="s">
        <v>36</v>
      </c>
    </row>
    <row r="464" spans="1:15" x14ac:dyDescent="0.25">
      <c r="A464" s="2" t="s">
        <v>501</v>
      </c>
      <c r="B464" s="1">
        <v>28</v>
      </c>
      <c r="C464" s="1" t="s">
        <v>28</v>
      </c>
      <c r="D464" s="1" t="s">
        <v>40</v>
      </c>
      <c r="E464" s="1" t="s">
        <v>570</v>
      </c>
      <c r="F464" s="1">
        <v>74585</v>
      </c>
      <c r="G464" s="14">
        <v>5</v>
      </c>
      <c r="H464" s="1">
        <v>4</v>
      </c>
      <c r="I464" s="1">
        <v>3</v>
      </c>
      <c r="J464" s="1" t="s">
        <v>20</v>
      </c>
      <c r="K464" s="1">
        <v>12</v>
      </c>
      <c r="L464" s="1" t="s">
        <v>20</v>
      </c>
      <c r="M464" s="1" t="s">
        <v>30</v>
      </c>
      <c r="N464" s="1">
        <v>74</v>
      </c>
      <c r="O464" s="3" t="s">
        <v>44</v>
      </c>
    </row>
    <row r="465" spans="1:15" x14ac:dyDescent="0.25">
      <c r="A465" s="2" t="s">
        <v>502</v>
      </c>
      <c r="B465" s="1">
        <v>39</v>
      </c>
      <c r="C465" s="1" t="s">
        <v>28</v>
      </c>
      <c r="D465" s="1" t="s">
        <v>51</v>
      </c>
      <c r="E465" s="1" t="s">
        <v>41</v>
      </c>
      <c r="F465" s="1">
        <v>90800</v>
      </c>
      <c r="G465" s="14">
        <v>4</v>
      </c>
      <c r="H465" s="1">
        <v>3</v>
      </c>
      <c r="I465" s="1">
        <v>4</v>
      </c>
      <c r="J465" s="1" t="s">
        <v>19</v>
      </c>
      <c r="K465" s="1">
        <v>9</v>
      </c>
      <c r="L465" s="1" t="s">
        <v>19</v>
      </c>
      <c r="M465" s="1" t="s">
        <v>21</v>
      </c>
      <c r="N465" s="1">
        <v>6</v>
      </c>
      <c r="O465" s="3" t="s">
        <v>22</v>
      </c>
    </row>
    <row r="466" spans="1:15" x14ac:dyDescent="0.25">
      <c r="A466" s="2" t="s">
        <v>503</v>
      </c>
      <c r="B466" s="1">
        <v>22</v>
      </c>
      <c r="C466" s="1" t="s">
        <v>16</v>
      </c>
      <c r="D466" s="1" t="s">
        <v>17</v>
      </c>
      <c r="E466" s="1" t="s">
        <v>33</v>
      </c>
      <c r="F466" s="1">
        <v>104235</v>
      </c>
      <c r="G466" s="14">
        <v>4</v>
      </c>
      <c r="H466" s="1">
        <v>2</v>
      </c>
      <c r="I466" s="1">
        <v>1</v>
      </c>
      <c r="J466" s="1" t="s">
        <v>19</v>
      </c>
      <c r="K466" s="1">
        <v>20</v>
      </c>
      <c r="L466" s="1" t="s">
        <v>20</v>
      </c>
      <c r="M466" s="1" t="s">
        <v>30</v>
      </c>
      <c r="N466" s="1">
        <v>59</v>
      </c>
      <c r="O466" s="3" t="s">
        <v>31</v>
      </c>
    </row>
    <row r="467" spans="1:15" x14ac:dyDescent="0.25">
      <c r="A467" s="2" t="s">
        <v>504</v>
      </c>
      <c r="B467" s="1">
        <v>32</v>
      </c>
      <c r="C467" s="1" t="s">
        <v>28</v>
      </c>
      <c r="D467" s="1" t="s">
        <v>24</v>
      </c>
      <c r="E467" s="1" t="s">
        <v>33</v>
      </c>
      <c r="F467" s="1">
        <v>90358</v>
      </c>
      <c r="G467" s="14">
        <v>4</v>
      </c>
      <c r="H467" s="1">
        <v>4</v>
      </c>
      <c r="I467" s="1">
        <v>3</v>
      </c>
      <c r="J467" s="1" t="s">
        <v>19</v>
      </c>
      <c r="K467" s="1">
        <v>5</v>
      </c>
      <c r="L467" s="1" t="s">
        <v>20</v>
      </c>
      <c r="M467" s="1" t="s">
        <v>26</v>
      </c>
      <c r="N467" s="1">
        <v>5</v>
      </c>
      <c r="O467" s="3" t="s">
        <v>31</v>
      </c>
    </row>
    <row r="468" spans="1:15" x14ac:dyDescent="0.25">
      <c r="A468" s="2" t="s">
        <v>505</v>
      </c>
      <c r="B468" s="1">
        <v>52</v>
      </c>
      <c r="C468" s="1" t="s">
        <v>16</v>
      </c>
      <c r="D468" s="1" t="s">
        <v>17</v>
      </c>
      <c r="E468" s="1" t="s">
        <v>25</v>
      </c>
      <c r="F468" s="1">
        <v>53291</v>
      </c>
      <c r="G468" s="14">
        <v>4</v>
      </c>
      <c r="H468" s="1">
        <v>5</v>
      </c>
      <c r="I468" s="1">
        <v>5</v>
      </c>
      <c r="J468" s="1" t="s">
        <v>20</v>
      </c>
      <c r="K468" s="1">
        <v>1</v>
      </c>
      <c r="L468" s="1" t="s">
        <v>19</v>
      </c>
      <c r="M468" s="1" t="s">
        <v>26</v>
      </c>
      <c r="N468" s="1">
        <v>66</v>
      </c>
      <c r="O468" s="3" t="s">
        <v>36</v>
      </c>
    </row>
    <row r="469" spans="1:15" x14ac:dyDescent="0.25">
      <c r="A469" s="2" t="s">
        <v>506</v>
      </c>
      <c r="B469" s="1">
        <v>28</v>
      </c>
      <c r="C469" s="1" t="s">
        <v>28</v>
      </c>
      <c r="D469" s="1" t="s">
        <v>17</v>
      </c>
      <c r="E469" s="1" t="s">
        <v>35</v>
      </c>
      <c r="F469" s="1">
        <v>36623</v>
      </c>
      <c r="G469" s="14">
        <v>5</v>
      </c>
      <c r="H469" s="1">
        <v>3</v>
      </c>
      <c r="I469" s="1">
        <v>3</v>
      </c>
      <c r="J469" s="1" t="s">
        <v>19</v>
      </c>
      <c r="K469" s="1">
        <v>16</v>
      </c>
      <c r="L469" s="1" t="s">
        <v>19</v>
      </c>
      <c r="M469" s="1" t="s">
        <v>21</v>
      </c>
      <c r="N469" s="1">
        <v>65</v>
      </c>
      <c r="O469" s="3" t="s">
        <v>22</v>
      </c>
    </row>
    <row r="470" spans="1:15" x14ac:dyDescent="0.25">
      <c r="A470" s="2" t="s">
        <v>507</v>
      </c>
      <c r="B470" s="1">
        <v>55</v>
      </c>
      <c r="C470" s="1" t="s">
        <v>28</v>
      </c>
      <c r="D470" s="1" t="s">
        <v>24</v>
      </c>
      <c r="E470" s="1" t="s">
        <v>35</v>
      </c>
      <c r="F470" s="1">
        <v>63029</v>
      </c>
      <c r="G470" s="14">
        <v>5</v>
      </c>
      <c r="H470" s="1">
        <v>1</v>
      </c>
      <c r="I470" s="1">
        <v>4</v>
      </c>
      <c r="J470" s="1" t="s">
        <v>20</v>
      </c>
      <c r="K470" s="1">
        <v>16</v>
      </c>
      <c r="L470" s="1" t="s">
        <v>20</v>
      </c>
      <c r="M470" s="1" t="s">
        <v>26</v>
      </c>
      <c r="N470" s="1">
        <v>47</v>
      </c>
      <c r="O470" s="3" t="s">
        <v>42</v>
      </c>
    </row>
    <row r="471" spans="1:15" x14ac:dyDescent="0.25">
      <c r="A471" s="2" t="s">
        <v>508</v>
      </c>
      <c r="B471" s="1">
        <v>43</v>
      </c>
      <c r="C471" s="1" t="s">
        <v>28</v>
      </c>
      <c r="D471" s="1" t="s">
        <v>29</v>
      </c>
      <c r="E471" s="1" t="s">
        <v>41</v>
      </c>
      <c r="F471" s="1">
        <v>22630</v>
      </c>
      <c r="G471" s="14">
        <v>5</v>
      </c>
      <c r="H471" s="1">
        <v>3</v>
      </c>
      <c r="I471" s="1">
        <v>5</v>
      </c>
      <c r="J471" s="1" t="s">
        <v>20</v>
      </c>
      <c r="K471" s="1">
        <v>1</v>
      </c>
      <c r="L471" s="1" t="s">
        <v>20</v>
      </c>
      <c r="M471" s="1" t="s">
        <v>26</v>
      </c>
      <c r="N471" s="1">
        <v>26</v>
      </c>
      <c r="O471" s="3" t="s">
        <v>31</v>
      </c>
    </row>
    <row r="472" spans="1:15" x14ac:dyDescent="0.25">
      <c r="A472" s="2" t="s">
        <v>509</v>
      </c>
      <c r="B472" s="1">
        <v>24</v>
      </c>
      <c r="C472" s="1" t="s">
        <v>28</v>
      </c>
      <c r="D472" s="1" t="s">
        <v>17</v>
      </c>
      <c r="E472" s="1" t="s">
        <v>25</v>
      </c>
      <c r="F472" s="1">
        <v>21578</v>
      </c>
      <c r="G472" s="14">
        <v>3</v>
      </c>
      <c r="H472" s="1">
        <v>4</v>
      </c>
      <c r="I472" s="1">
        <v>1</v>
      </c>
      <c r="J472" s="1" t="s">
        <v>19</v>
      </c>
      <c r="K472" s="1">
        <v>16</v>
      </c>
      <c r="L472" s="1" t="s">
        <v>19</v>
      </c>
      <c r="M472" s="1" t="s">
        <v>30</v>
      </c>
      <c r="N472" s="1">
        <v>37</v>
      </c>
      <c r="O472" s="3" t="s">
        <v>44</v>
      </c>
    </row>
    <row r="473" spans="1:15" x14ac:dyDescent="0.25">
      <c r="A473" s="2" t="s">
        <v>510</v>
      </c>
      <c r="B473" s="1">
        <v>38</v>
      </c>
      <c r="C473" s="1" t="s">
        <v>28</v>
      </c>
      <c r="D473" s="1" t="s">
        <v>29</v>
      </c>
      <c r="E473" s="1" t="s">
        <v>35</v>
      </c>
      <c r="F473" s="1">
        <v>115180</v>
      </c>
      <c r="G473" s="14">
        <v>1</v>
      </c>
      <c r="H473" s="1">
        <v>5</v>
      </c>
      <c r="I473" s="1">
        <v>2</v>
      </c>
      <c r="J473" s="1" t="s">
        <v>19</v>
      </c>
      <c r="K473" s="1">
        <v>14</v>
      </c>
      <c r="L473" s="1" t="s">
        <v>20</v>
      </c>
      <c r="M473" s="1" t="s">
        <v>21</v>
      </c>
      <c r="N473" s="1">
        <v>38</v>
      </c>
      <c r="O473" s="3" t="s">
        <v>44</v>
      </c>
    </row>
    <row r="474" spans="1:15" x14ac:dyDescent="0.25">
      <c r="A474" s="2" t="s">
        <v>511</v>
      </c>
      <c r="B474" s="1">
        <v>52</v>
      </c>
      <c r="C474" s="1" t="s">
        <v>16</v>
      </c>
      <c r="D474" s="1" t="s">
        <v>24</v>
      </c>
      <c r="E474" s="1" t="s">
        <v>35</v>
      </c>
      <c r="F474" s="1">
        <v>62937</v>
      </c>
      <c r="G474" s="14">
        <v>1</v>
      </c>
      <c r="H474" s="1">
        <v>2</v>
      </c>
      <c r="I474" s="1">
        <v>5</v>
      </c>
      <c r="J474" s="1" t="s">
        <v>19</v>
      </c>
      <c r="K474" s="1">
        <v>15</v>
      </c>
      <c r="L474" s="1" t="s">
        <v>20</v>
      </c>
      <c r="M474" s="1" t="s">
        <v>30</v>
      </c>
      <c r="N474" s="1">
        <v>35</v>
      </c>
      <c r="O474" s="3" t="s">
        <v>42</v>
      </c>
    </row>
    <row r="475" spans="1:15" x14ac:dyDescent="0.25">
      <c r="A475" s="2" t="s">
        <v>512</v>
      </c>
      <c r="B475" s="1">
        <v>31</v>
      </c>
      <c r="C475" s="1" t="s">
        <v>16</v>
      </c>
      <c r="D475" s="1" t="s">
        <v>24</v>
      </c>
      <c r="E475" s="1" t="s">
        <v>38</v>
      </c>
      <c r="F475" s="1">
        <v>63229</v>
      </c>
      <c r="G475" s="14">
        <v>1</v>
      </c>
      <c r="H475" s="1">
        <v>3</v>
      </c>
      <c r="I475" s="1">
        <v>1</v>
      </c>
      <c r="J475" s="1" t="s">
        <v>19</v>
      </c>
      <c r="K475" s="1">
        <v>5</v>
      </c>
      <c r="L475" s="1" t="s">
        <v>20</v>
      </c>
      <c r="M475" s="1" t="s">
        <v>30</v>
      </c>
      <c r="N475" s="1">
        <v>65</v>
      </c>
      <c r="O475" s="3" t="s">
        <v>36</v>
      </c>
    </row>
    <row r="476" spans="1:15" x14ac:dyDescent="0.25">
      <c r="A476" s="2" t="s">
        <v>513</v>
      </c>
      <c r="B476" s="1">
        <v>51</v>
      </c>
      <c r="C476" s="1" t="s">
        <v>16</v>
      </c>
      <c r="D476" s="1" t="s">
        <v>49</v>
      </c>
      <c r="E476" s="1" t="s">
        <v>38</v>
      </c>
      <c r="F476" s="1">
        <v>110485</v>
      </c>
      <c r="G476" s="14">
        <v>4</v>
      </c>
      <c r="H476" s="1">
        <v>4</v>
      </c>
      <c r="I476" s="1">
        <v>3</v>
      </c>
      <c r="J476" s="1" t="s">
        <v>19</v>
      </c>
      <c r="K476" s="1">
        <v>16</v>
      </c>
      <c r="L476" s="1" t="s">
        <v>20</v>
      </c>
      <c r="M476" s="1" t="s">
        <v>21</v>
      </c>
      <c r="N476" s="1">
        <v>41</v>
      </c>
      <c r="O476" s="3" t="s">
        <v>42</v>
      </c>
    </row>
    <row r="477" spans="1:15" x14ac:dyDescent="0.25">
      <c r="A477" s="2" t="s">
        <v>514</v>
      </c>
      <c r="B477" s="1">
        <v>45</v>
      </c>
      <c r="C477" s="1" t="s">
        <v>28</v>
      </c>
      <c r="D477" s="1" t="s">
        <v>24</v>
      </c>
      <c r="E477" s="1" t="s">
        <v>38</v>
      </c>
      <c r="F477" s="1">
        <v>68925</v>
      </c>
      <c r="G477" s="14">
        <v>1</v>
      </c>
      <c r="H477" s="1">
        <v>5</v>
      </c>
      <c r="I477" s="1">
        <v>3</v>
      </c>
      <c r="J477" s="1" t="s">
        <v>20</v>
      </c>
      <c r="K477" s="1">
        <v>19</v>
      </c>
      <c r="L477" s="1" t="s">
        <v>20</v>
      </c>
      <c r="M477" s="1" t="s">
        <v>30</v>
      </c>
      <c r="N477" s="1">
        <v>39</v>
      </c>
      <c r="O477" s="3" t="s">
        <v>36</v>
      </c>
    </row>
    <row r="478" spans="1:15" x14ac:dyDescent="0.25">
      <c r="A478" s="2" t="s">
        <v>515</v>
      </c>
      <c r="B478" s="1">
        <v>27</v>
      </c>
      <c r="C478" s="1" t="s">
        <v>28</v>
      </c>
      <c r="D478" s="1" t="s">
        <v>17</v>
      </c>
      <c r="E478" s="1" t="s">
        <v>25</v>
      </c>
      <c r="F478" s="1">
        <v>69269</v>
      </c>
      <c r="G478" s="14">
        <v>4</v>
      </c>
      <c r="H478" s="1">
        <v>2</v>
      </c>
      <c r="I478" s="1">
        <v>5</v>
      </c>
      <c r="J478" s="1" t="s">
        <v>19</v>
      </c>
      <c r="K478" s="1">
        <v>16</v>
      </c>
      <c r="L478" s="1" t="s">
        <v>20</v>
      </c>
      <c r="M478" s="1" t="s">
        <v>26</v>
      </c>
      <c r="N478" s="1">
        <v>28</v>
      </c>
      <c r="O478" s="3" t="s">
        <v>36</v>
      </c>
    </row>
    <row r="479" spans="1:15" x14ac:dyDescent="0.25">
      <c r="A479" s="2" t="s">
        <v>516</v>
      </c>
      <c r="B479" s="1">
        <v>56</v>
      </c>
      <c r="C479" s="1" t="s">
        <v>16</v>
      </c>
      <c r="D479" s="1" t="s">
        <v>17</v>
      </c>
      <c r="E479" s="1" t="s">
        <v>35</v>
      </c>
      <c r="F479" s="1">
        <v>26906</v>
      </c>
      <c r="G479" s="14">
        <v>1</v>
      </c>
      <c r="H479" s="1">
        <v>4</v>
      </c>
      <c r="I479" s="1">
        <v>1</v>
      </c>
      <c r="J479" s="1" t="s">
        <v>19</v>
      </c>
      <c r="K479" s="1">
        <v>14</v>
      </c>
      <c r="L479" s="1" t="s">
        <v>20</v>
      </c>
      <c r="M479" s="1" t="s">
        <v>21</v>
      </c>
      <c r="N479" s="1">
        <v>41</v>
      </c>
      <c r="O479" s="3" t="s">
        <v>36</v>
      </c>
    </row>
    <row r="480" spans="1:15" x14ac:dyDescent="0.25">
      <c r="A480" s="2" t="s">
        <v>517</v>
      </c>
      <c r="B480" s="1">
        <v>33</v>
      </c>
      <c r="C480" s="1" t="s">
        <v>16</v>
      </c>
      <c r="D480" s="1" t="s">
        <v>40</v>
      </c>
      <c r="E480" s="1" t="s">
        <v>25</v>
      </c>
      <c r="F480" s="1">
        <v>30050</v>
      </c>
      <c r="G480" s="14">
        <v>1</v>
      </c>
      <c r="H480" s="1">
        <v>5</v>
      </c>
      <c r="I480" s="1">
        <v>2</v>
      </c>
      <c r="J480" s="1" t="s">
        <v>19</v>
      </c>
      <c r="K480" s="1">
        <v>3</v>
      </c>
      <c r="L480" s="1" t="s">
        <v>19</v>
      </c>
      <c r="M480" s="1" t="s">
        <v>26</v>
      </c>
      <c r="N480" s="1">
        <v>21</v>
      </c>
      <c r="O480" s="3" t="s">
        <v>42</v>
      </c>
    </row>
    <row r="481" spans="1:15" x14ac:dyDescent="0.25">
      <c r="A481" s="2" t="s">
        <v>518</v>
      </c>
      <c r="B481" s="1">
        <v>57</v>
      </c>
      <c r="C481" s="1" t="s">
        <v>16</v>
      </c>
      <c r="D481" s="1" t="s">
        <v>40</v>
      </c>
      <c r="E481" s="1" t="s">
        <v>38</v>
      </c>
      <c r="F481" s="1">
        <v>42151</v>
      </c>
      <c r="G481" s="14">
        <v>3</v>
      </c>
      <c r="H481" s="1">
        <v>3</v>
      </c>
      <c r="I481" s="1">
        <v>4</v>
      </c>
      <c r="J481" s="1" t="s">
        <v>19</v>
      </c>
      <c r="K481" s="1">
        <v>20</v>
      </c>
      <c r="L481" s="1" t="s">
        <v>20</v>
      </c>
      <c r="M481" s="1" t="s">
        <v>30</v>
      </c>
      <c r="N481" s="1">
        <v>59</v>
      </c>
      <c r="O481" s="3" t="s">
        <v>36</v>
      </c>
    </row>
    <row r="482" spans="1:15" x14ac:dyDescent="0.25">
      <c r="A482" s="2" t="s">
        <v>519</v>
      </c>
      <c r="B482" s="1">
        <v>37</v>
      </c>
      <c r="C482" s="1" t="s">
        <v>16</v>
      </c>
      <c r="D482" s="1" t="s">
        <v>40</v>
      </c>
      <c r="E482" s="1" t="s">
        <v>18</v>
      </c>
      <c r="F482" s="1">
        <v>119856</v>
      </c>
      <c r="G482" s="14">
        <v>1</v>
      </c>
      <c r="H482" s="1">
        <v>4</v>
      </c>
      <c r="I482" s="1">
        <v>4</v>
      </c>
      <c r="J482" s="1" t="s">
        <v>20</v>
      </c>
      <c r="K482" s="1">
        <v>1</v>
      </c>
      <c r="L482" s="1" t="s">
        <v>20</v>
      </c>
      <c r="M482" s="1" t="s">
        <v>30</v>
      </c>
      <c r="N482" s="1">
        <v>27</v>
      </c>
      <c r="O482" s="3" t="s">
        <v>42</v>
      </c>
    </row>
    <row r="483" spans="1:15" x14ac:dyDescent="0.25">
      <c r="A483" s="2" t="s">
        <v>520</v>
      </c>
      <c r="B483" s="1">
        <v>25</v>
      </c>
      <c r="C483" s="1" t="s">
        <v>28</v>
      </c>
      <c r="D483" s="1" t="s">
        <v>51</v>
      </c>
      <c r="E483" s="1" t="s">
        <v>25</v>
      </c>
      <c r="F483" s="1">
        <v>69463</v>
      </c>
      <c r="G483" s="14">
        <v>2</v>
      </c>
      <c r="H483" s="1">
        <v>4</v>
      </c>
      <c r="I483" s="1">
        <v>1</v>
      </c>
      <c r="J483" s="1" t="s">
        <v>19</v>
      </c>
      <c r="K483" s="1">
        <v>17</v>
      </c>
      <c r="L483" s="1" t="s">
        <v>20</v>
      </c>
      <c r="M483" s="1" t="s">
        <v>21</v>
      </c>
      <c r="N483" s="1">
        <v>18</v>
      </c>
      <c r="O483" s="3" t="s">
        <v>42</v>
      </c>
    </row>
    <row r="484" spans="1:15" x14ac:dyDescent="0.25">
      <c r="A484" s="2" t="s">
        <v>521</v>
      </c>
      <c r="B484" s="1">
        <v>37</v>
      </c>
      <c r="C484" s="1" t="s">
        <v>16</v>
      </c>
      <c r="D484" s="1" t="s">
        <v>40</v>
      </c>
      <c r="E484" s="1" t="s">
        <v>35</v>
      </c>
      <c r="F484" s="1">
        <v>27229</v>
      </c>
      <c r="G484" s="14">
        <v>5</v>
      </c>
      <c r="H484" s="1">
        <v>3</v>
      </c>
      <c r="I484" s="1">
        <v>4</v>
      </c>
      <c r="J484" s="1" t="s">
        <v>19</v>
      </c>
      <c r="K484" s="1">
        <v>15</v>
      </c>
      <c r="L484" s="1" t="s">
        <v>19</v>
      </c>
      <c r="M484" s="1" t="s">
        <v>26</v>
      </c>
      <c r="N484" s="1">
        <v>5</v>
      </c>
      <c r="O484" s="3" t="s">
        <v>22</v>
      </c>
    </row>
    <row r="485" spans="1:15" x14ac:dyDescent="0.25">
      <c r="A485" s="2" t="s">
        <v>522</v>
      </c>
      <c r="B485" s="1">
        <v>45</v>
      </c>
      <c r="C485" s="1" t="s">
        <v>28</v>
      </c>
      <c r="D485" s="1" t="s">
        <v>51</v>
      </c>
      <c r="E485" s="1" t="s">
        <v>38</v>
      </c>
      <c r="F485" s="1">
        <v>61231</v>
      </c>
      <c r="G485" s="14">
        <v>4</v>
      </c>
      <c r="H485" s="1">
        <v>5</v>
      </c>
      <c r="I485" s="1">
        <v>1</v>
      </c>
      <c r="J485" s="1" t="s">
        <v>20</v>
      </c>
      <c r="K485" s="1">
        <v>15</v>
      </c>
      <c r="L485" s="1" t="s">
        <v>20</v>
      </c>
      <c r="M485" s="1" t="s">
        <v>30</v>
      </c>
      <c r="N485" s="1">
        <v>13</v>
      </c>
      <c r="O485" s="3" t="s">
        <v>31</v>
      </c>
    </row>
    <row r="486" spans="1:15" x14ac:dyDescent="0.25">
      <c r="A486" s="2" t="s">
        <v>523</v>
      </c>
      <c r="B486" s="1">
        <v>35</v>
      </c>
      <c r="C486" s="1" t="s">
        <v>16</v>
      </c>
      <c r="D486" s="1" t="s">
        <v>49</v>
      </c>
      <c r="E486" s="1" t="s">
        <v>38</v>
      </c>
      <c r="F486" s="1">
        <v>81185</v>
      </c>
      <c r="G486" s="14">
        <v>1</v>
      </c>
      <c r="H486" s="1">
        <v>5</v>
      </c>
      <c r="I486" s="1">
        <v>3</v>
      </c>
      <c r="J486" s="1" t="s">
        <v>20</v>
      </c>
      <c r="K486" s="1">
        <v>10</v>
      </c>
      <c r="L486" s="1" t="s">
        <v>20</v>
      </c>
      <c r="M486" s="1" t="s">
        <v>30</v>
      </c>
      <c r="N486" s="1">
        <v>12</v>
      </c>
      <c r="O486" s="3" t="s">
        <v>22</v>
      </c>
    </row>
    <row r="487" spans="1:15" x14ac:dyDescent="0.25">
      <c r="A487" s="2" t="s">
        <v>524</v>
      </c>
      <c r="B487" s="1">
        <v>44</v>
      </c>
      <c r="C487" s="1" t="s">
        <v>28</v>
      </c>
      <c r="D487" s="1" t="s">
        <v>40</v>
      </c>
      <c r="E487" s="1" t="s">
        <v>33</v>
      </c>
      <c r="F487" s="1">
        <v>117674</v>
      </c>
      <c r="G487" s="14">
        <v>3</v>
      </c>
      <c r="H487" s="1">
        <v>2</v>
      </c>
      <c r="I487" s="1">
        <v>2</v>
      </c>
      <c r="J487" s="1" t="s">
        <v>19</v>
      </c>
      <c r="K487" s="1">
        <v>12</v>
      </c>
      <c r="L487" s="1" t="s">
        <v>19</v>
      </c>
      <c r="M487" s="1" t="s">
        <v>30</v>
      </c>
      <c r="N487" s="1">
        <v>54</v>
      </c>
      <c r="O487" s="3" t="s">
        <v>22</v>
      </c>
    </row>
    <row r="488" spans="1:15" x14ac:dyDescent="0.25">
      <c r="A488" s="2" t="s">
        <v>525</v>
      </c>
      <c r="B488" s="1">
        <v>43</v>
      </c>
      <c r="C488" s="1" t="s">
        <v>28</v>
      </c>
      <c r="D488" s="1" t="s">
        <v>40</v>
      </c>
      <c r="E488" s="1" t="s">
        <v>38</v>
      </c>
      <c r="F488" s="1">
        <v>75407</v>
      </c>
      <c r="G488" s="14">
        <v>2</v>
      </c>
      <c r="H488" s="1">
        <v>2</v>
      </c>
      <c r="I488" s="1">
        <v>1</v>
      </c>
      <c r="J488" s="1" t="s">
        <v>19</v>
      </c>
      <c r="K488" s="1">
        <v>0</v>
      </c>
      <c r="L488" s="1" t="s">
        <v>19</v>
      </c>
      <c r="M488" s="1" t="s">
        <v>30</v>
      </c>
      <c r="N488" s="1">
        <v>54</v>
      </c>
      <c r="O488" s="3" t="s">
        <v>22</v>
      </c>
    </row>
    <row r="489" spans="1:15" x14ac:dyDescent="0.25">
      <c r="A489" s="2" t="s">
        <v>526</v>
      </c>
      <c r="B489" s="1">
        <v>39</v>
      </c>
      <c r="C489" s="1" t="s">
        <v>28</v>
      </c>
      <c r="D489" s="1" t="s">
        <v>49</v>
      </c>
      <c r="E489" s="1" t="s">
        <v>25</v>
      </c>
      <c r="F489" s="1">
        <v>76891</v>
      </c>
      <c r="G489" s="14">
        <v>1</v>
      </c>
      <c r="H489" s="1">
        <v>1</v>
      </c>
      <c r="I489" s="1">
        <v>3</v>
      </c>
      <c r="J489" s="1" t="s">
        <v>19</v>
      </c>
      <c r="K489" s="1">
        <v>10</v>
      </c>
      <c r="L489" s="1" t="s">
        <v>19</v>
      </c>
      <c r="M489" s="1" t="s">
        <v>30</v>
      </c>
      <c r="N489" s="1">
        <v>20</v>
      </c>
      <c r="O489" s="3" t="s">
        <v>44</v>
      </c>
    </row>
    <row r="490" spans="1:15" x14ac:dyDescent="0.25">
      <c r="A490" s="2" t="s">
        <v>527</v>
      </c>
      <c r="B490" s="1">
        <v>54</v>
      </c>
      <c r="C490" s="1" t="s">
        <v>28</v>
      </c>
      <c r="D490" s="1" t="s">
        <v>17</v>
      </c>
      <c r="E490" s="1" t="s">
        <v>25</v>
      </c>
      <c r="F490" s="1">
        <v>37523</v>
      </c>
      <c r="G490" s="14">
        <v>5</v>
      </c>
      <c r="H490" s="1">
        <v>2</v>
      </c>
      <c r="I490" s="1">
        <v>1</v>
      </c>
      <c r="J490" s="1" t="s">
        <v>19</v>
      </c>
      <c r="K490" s="1">
        <v>4</v>
      </c>
      <c r="L490" s="1" t="s">
        <v>20</v>
      </c>
      <c r="M490" s="1" t="s">
        <v>26</v>
      </c>
      <c r="N490" s="1">
        <v>7</v>
      </c>
      <c r="O490" s="3" t="s">
        <v>42</v>
      </c>
    </row>
    <row r="491" spans="1:15" x14ac:dyDescent="0.25">
      <c r="A491" s="2" t="s">
        <v>528</v>
      </c>
      <c r="B491" s="1">
        <v>23</v>
      </c>
      <c r="C491" s="1" t="s">
        <v>16</v>
      </c>
      <c r="D491" s="1" t="s">
        <v>17</v>
      </c>
      <c r="E491" s="1" t="s">
        <v>38</v>
      </c>
      <c r="F491" s="1">
        <v>35109</v>
      </c>
      <c r="G491" s="14">
        <v>1</v>
      </c>
      <c r="H491" s="1">
        <v>2</v>
      </c>
      <c r="I491" s="1">
        <v>1</v>
      </c>
      <c r="J491" s="1" t="s">
        <v>20</v>
      </c>
      <c r="K491" s="1">
        <v>3</v>
      </c>
      <c r="L491" s="1" t="s">
        <v>20</v>
      </c>
      <c r="M491" s="1" t="s">
        <v>26</v>
      </c>
      <c r="N491" s="1">
        <v>26</v>
      </c>
      <c r="O491" s="3" t="s">
        <v>31</v>
      </c>
    </row>
    <row r="492" spans="1:15" x14ac:dyDescent="0.25">
      <c r="A492" s="2" t="s">
        <v>529</v>
      </c>
      <c r="B492" s="1">
        <v>25</v>
      </c>
      <c r="C492" s="1" t="s">
        <v>16</v>
      </c>
      <c r="D492" s="1" t="s">
        <v>40</v>
      </c>
      <c r="E492" s="1" t="s">
        <v>33</v>
      </c>
      <c r="F492" s="1">
        <v>95984</v>
      </c>
      <c r="G492" s="14">
        <v>5</v>
      </c>
      <c r="H492" s="1">
        <v>2</v>
      </c>
      <c r="I492" s="1">
        <v>1</v>
      </c>
      <c r="J492" s="1" t="s">
        <v>19</v>
      </c>
      <c r="K492" s="1">
        <v>13</v>
      </c>
      <c r="L492" s="1" t="s">
        <v>20</v>
      </c>
      <c r="M492" s="1" t="s">
        <v>26</v>
      </c>
      <c r="N492" s="1">
        <v>56</v>
      </c>
      <c r="O492" s="3" t="s">
        <v>36</v>
      </c>
    </row>
    <row r="493" spans="1:15" x14ac:dyDescent="0.25">
      <c r="A493" s="2" t="s">
        <v>530</v>
      </c>
      <c r="B493" s="1">
        <v>28</v>
      </c>
      <c r="C493" s="1" t="s">
        <v>16</v>
      </c>
      <c r="D493" s="1" t="s">
        <v>29</v>
      </c>
      <c r="E493" s="1" t="s">
        <v>41</v>
      </c>
      <c r="F493" s="1">
        <v>118168</v>
      </c>
      <c r="G493" s="14">
        <v>1</v>
      </c>
      <c r="H493" s="1">
        <v>5</v>
      </c>
      <c r="I493" s="1">
        <v>2</v>
      </c>
      <c r="J493" s="1" t="s">
        <v>20</v>
      </c>
      <c r="K493" s="1">
        <v>2</v>
      </c>
      <c r="L493" s="1" t="s">
        <v>19</v>
      </c>
      <c r="M493" s="1" t="s">
        <v>30</v>
      </c>
      <c r="N493" s="1">
        <v>23</v>
      </c>
      <c r="O493" s="3" t="s">
        <v>42</v>
      </c>
    </row>
    <row r="494" spans="1:15" x14ac:dyDescent="0.25">
      <c r="A494" s="2" t="s">
        <v>531</v>
      </c>
      <c r="B494" s="1">
        <v>31</v>
      </c>
      <c r="C494" s="1" t="s">
        <v>28</v>
      </c>
      <c r="D494" s="1" t="s">
        <v>24</v>
      </c>
      <c r="E494" s="1" t="s">
        <v>41</v>
      </c>
      <c r="F494" s="1">
        <v>75496</v>
      </c>
      <c r="G494" s="14">
        <v>2</v>
      </c>
      <c r="H494" s="1">
        <v>5</v>
      </c>
      <c r="I494" s="1">
        <v>1</v>
      </c>
      <c r="J494" s="1" t="s">
        <v>19</v>
      </c>
      <c r="K494" s="1">
        <v>3</v>
      </c>
      <c r="L494" s="1" t="s">
        <v>20</v>
      </c>
      <c r="M494" s="1" t="s">
        <v>21</v>
      </c>
      <c r="N494" s="1">
        <v>7</v>
      </c>
      <c r="O494" s="3" t="s">
        <v>42</v>
      </c>
    </row>
    <row r="495" spans="1:15" x14ac:dyDescent="0.25">
      <c r="A495" s="2" t="s">
        <v>532</v>
      </c>
      <c r="B495" s="1">
        <v>26</v>
      </c>
      <c r="C495" s="1" t="s">
        <v>16</v>
      </c>
      <c r="D495" s="1" t="s">
        <v>40</v>
      </c>
      <c r="E495" s="1" t="s">
        <v>41</v>
      </c>
      <c r="F495" s="1">
        <v>29683</v>
      </c>
      <c r="G495" s="14">
        <v>5</v>
      </c>
      <c r="H495" s="1">
        <v>3</v>
      </c>
      <c r="I495" s="1">
        <v>4</v>
      </c>
      <c r="J495" s="1" t="s">
        <v>20</v>
      </c>
      <c r="K495" s="1">
        <v>4</v>
      </c>
      <c r="L495" s="1" t="s">
        <v>19</v>
      </c>
      <c r="M495" s="1" t="s">
        <v>21</v>
      </c>
      <c r="N495" s="1">
        <v>39</v>
      </c>
      <c r="O495" s="3" t="s">
        <v>31</v>
      </c>
    </row>
    <row r="496" spans="1:15" x14ac:dyDescent="0.25">
      <c r="A496" s="2" t="s">
        <v>533</v>
      </c>
      <c r="B496" s="1">
        <v>49</v>
      </c>
      <c r="C496" s="1" t="s">
        <v>28</v>
      </c>
      <c r="D496" s="1" t="s">
        <v>51</v>
      </c>
      <c r="E496" s="1" t="s">
        <v>41</v>
      </c>
      <c r="F496" s="1">
        <v>98024</v>
      </c>
      <c r="G496" s="14">
        <v>1</v>
      </c>
      <c r="H496" s="1">
        <v>5</v>
      </c>
      <c r="I496" s="1">
        <v>2</v>
      </c>
      <c r="J496" s="1" t="s">
        <v>20</v>
      </c>
      <c r="K496" s="1">
        <v>19</v>
      </c>
      <c r="L496" s="1" t="s">
        <v>19</v>
      </c>
      <c r="M496" s="1" t="s">
        <v>26</v>
      </c>
      <c r="N496" s="1">
        <v>43</v>
      </c>
      <c r="O496" s="3" t="s">
        <v>36</v>
      </c>
    </row>
    <row r="497" spans="1:15" x14ac:dyDescent="0.25">
      <c r="A497" s="2" t="s">
        <v>534</v>
      </c>
      <c r="B497" s="1">
        <v>47</v>
      </c>
      <c r="C497" s="1" t="s">
        <v>16</v>
      </c>
      <c r="D497" s="1" t="s">
        <v>24</v>
      </c>
      <c r="E497" s="1" t="s">
        <v>41</v>
      </c>
      <c r="F497" s="1">
        <v>43153</v>
      </c>
      <c r="G497" s="14">
        <v>1</v>
      </c>
      <c r="H497" s="1">
        <v>5</v>
      </c>
      <c r="I497" s="1">
        <v>1</v>
      </c>
      <c r="J497" s="1" t="s">
        <v>20</v>
      </c>
      <c r="K497" s="1">
        <v>17</v>
      </c>
      <c r="L497" s="1" t="s">
        <v>19</v>
      </c>
      <c r="M497" s="1" t="s">
        <v>30</v>
      </c>
      <c r="N497" s="1">
        <v>31</v>
      </c>
      <c r="O497" s="3" t="s">
        <v>36</v>
      </c>
    </row>
    <row r="498" spans="1:15" x14ac:dyDescent="0.25">
      <c r="A498" s="2" t="s">
        <v>535</v>
      </c>
      <c r="B498" s="1">
        <v>39</v>
      </c>
      <c r="C498" s="1" t="s">
        <v>16</v>
      </c>
      <c r="D498" s="1" t="s">
        <v>40</v>
      </c>
      <c r="E498" s="1" t="s">
        <v>41</v>
      </c>
      <c r="F498" s="1">
        <v>107816</v>
      </c>
      <c r="G498" s="14">
        <v>4</v>
      </c>
      <c r="H498" s="1">
        <v>4</v>
      </c>
      <c r="I498" s="1">
        <v>2</v>
      </c>
      <c r="J498" s="1" t="s">
        <v>19</v>
      </c>
      <c r="K498" s="1">
        <v>1</v>
      </c>
      <c r="L498" s="1" t="s">
        <v>19</v>
      </c>
      <c r="M498" s="1" t="s">
        <v>26</v>
      </c>
      <c r="N498" s="1">
        <v>51</v>
      </c>
      <c r="O498" s="3" t="s">
        <v>36</v>
      </c>
    </row>
    <row r="499" spans="1:15" x14ac:dyDescent="0.25">
      <c r="A499" s="2" t="s">
        <v>536</v>
      </c>
      <c r="B499" s="1">
        <v>34</v>
      </c>
      <c r="C499" s="1" t="s">
        <v>28</v>
      </c>
      <c r="D499" s="1" t="s">
        <v>29</v>
      </c>
      <c r="E499" s="1" t="s">
        <v>18</v>
      </c>
      <c r="F499" s="1">
        <v>98847</v>
      </c>
      <c r="G499" s="14">
        <v>4</v>
      </c>
      <c r="H499" s="1">
        <v>1</v>
      </c>
      <c r="I499" s="1">
        <v>1</v>
      </c>
      <c r="J499" s="1" t="s">
        <v>19</v>
      </c>
      <c r="K499" s="1">
        <v>17</v>
      </c>
      <c r="L499" s="1" t="s">
        <v>19</v>
      </c>
      <c r="M499" s="1" t="s">
        <v>21</v>
      </c>
      <c r="N499" s="1">
        <v>8</v>
      </c>
      <c r="O499" s="3" t="s">
        <v>42</v>
      </c>
    </row>
    <row r="500" spans="1:15" x14ac:dyDescent="0.25">
      <c r="A500" s="2" t="s">
        <v>537</v>
      </c>
      <c r="B500" s="1">
        <v>53</v>
      </c>
      <c r="C500" s="1" t="s">
        <v>16</v>
      </c>
      <c r="D500" s="1" t="s">
        <v>40</v>
      </c>
      <c r="E500" s="1" t="s">
        <v>41</v>
      </c>
      <c r="F500" s="1">
        <v>112555</v>
      </c>
      <c r="G500" s="14">
        <v>4</v>
      </c>
      <c r="H500" s="1">
        <v>5</v>
      </c>
      <c r="I500" s="1">
        <v>5</v>
      </c>
      <c r="J500" s="1" t="s">
        <v>20</v>
      </c>
      <c r="K500" s="1">
        <v>13</v>
      </c>
      <c r="L500" s="1" t="s">
        <v>19</v>
      </c>
      <c r="M500" s="1" t="s">
        <v>26</v>
      </c>
      <c r="N500" s="1">
        <v>46</v>
      </c>
      <c r="O500" s="3" t="s">
        <v>44</v>
      </c>
    </row>
    <row r="501" spans="1:15" x14ac:dyDescent="0.25">
      <c r="A501" s="4" t="s">
        <v>538</v>
      </c>
      <c r="B501" s="5">
        <v>28</v>
      </c>
      <c r="C501" s="5" t="s">
        <v>28</v>
      </c>
      <c r="D501" s="5" t="s">
        <v>51</v>
      </c>
      <c r="E501" s="5" t="s">
        <v>35</v>
      </c>
      <c r="F501" s="5">
        <v>68925</v>
      </c>
      <c r="G501" s="15">
        <v>4</v>
      </c>
      <c r="H501" s="5">
        <v>2</v>
      </c>
      <c r="I501" s="5">
        <v>4</v>
      </c>
      <c r="J501" s="5" t="s">
        <v>19</v>
      </c>
      <c r="K501" s="5">
        <v>2</v>
      </c>
      <c r="L501" s="5" t="s">
        <v>20</v>
      </c>
      <c r="M501" s="5" t="s">
        <v>26</v>
      </c>
      <c r="N501" s="5">
        <v>67</v>
      </c>
      <c r="O501" s="6" t="s">
        <v>22</v>
      </c>
    </row>
    <row r="504" spans="1:15" x14ac:dyDescent="0.25">
      <c r="E504" s="29"/>
      <c r="F504" s="29"/>
    </row>
    <row r="505" spans="1:15" x14ac:dyDescent="0.25">
      <c r="E505" s="29"/>
      <c r="F505" s="29"/>
    </row>
    <row r="506" spans="1:15" x14ac:dyDescent="0.25">
      <c r="E506" s="29"/>
      <c r="F506" s="29"/>
    </row>
    <row r="507" spans="1:15" x14ac:dyDescent="0.25">
      <c r="E507" s="29"/>
      <c r="F507" s="29"/>
    </row>
    <row r="508" spans="1:15" x14ac:dyDescent="0.25">
      <c r="E508" s="29"/>
      <c r="F508" s="29"/>
    </row>
  </sheetData>
  <phoneticPr fontId="22" type="noConversion"/>
  <conditionalFormatting sqref="C1:C1048576">
    <cfRule type="cellIs" dxfId="26" priority="1" operator="equal">
      <formula>"female"</formula>
    </cfRule>
    <cfRule type="cellIs" priority="2" operator="equal">
      <formula>"feale"</formula>
    </cfRule>
    <cfRule type="cellIs" dxfId="25" priority="3" operator="equal">
      <formula>"male"</formula>
    </cfRule>
  </conditionalFormatting>
  <conditionalFormatting sqref="E2:E501">
    <cfRule type="containsText" dxfId="24" priority="13" operator="containsText" text="lead">
      <formula>NOT(ISERROR(SEARCH("lead",E2)))</formula>
    </cfRule>
    <cfRule type="containsText" dxfId="23" priority="14" operator="containsText" text="associate">
      <formula>NOT(ISERROR(SEARCH("associate",E2)))</formula>
    </cfRule>
    <cfRule type="containsText" dxfId="22" priority="15" operator="containsText" text="Manager">
      <formula>NOT(ISERROR(SEARCH("Manager",E2)))</formula>
    </cfRule>
    <cfRule type="containsText" dxfId="21" priority="16" operator="containsText" text="Analyst">
      <formula>NOT(ISERROR(SEARCH("Analyst",E2)))</formula>
    </cfRule>
  </conditionalFormatting>
  <conditionalFormatting sqref="F2:F501">
    <cfRule type="colorScale" priority="18">
      <colorScale>
        <cfvo type="min"/>
        <cfvo type="percentile" val="50"/>
        <cfvo type="max"/>
        <color rgb="FFF8696B"/>
        <color rgb="FFFCFCFF"/>
        <color rgb="FF63BE7B"/>
      </colorScale>
    </cfRule>
  </conditionalFormatting>
  <conditionalFormatting sqref="G1:G1048576">
    <cfRule type="colorScale" priority="12">
      <colorScale>
        <cfvo type="min"/>
        <cfvo type="percentile" val="50"/>
        <cfvo type="max"/>
        <color rgb="FF63BE7B"/>
        <color rgb="FFFFEB84"/>
        <color rgb="FFF8696B"/>
      </colorScale>
    </cfRule>
  </conditionalFormatting>
  <conditionalFormatting sqref="J1:J1048576">
    <cfRule type="cellIs" dxfId="20" priority="10" operator="equal">
      <formula>"no"</formula>
    </cfRule>
    <cfRule type="cellIs" dxfId="19" priority="11" operator="equal">
      <formula>"yes"</formula>
    </cfRule>
  </conditionalFormatting>
  <conditionalFormatting sqref="L1:L1048576">
    <cfRule type="cellIs" dxfId="18" priority="17" operator="equal">
      <formula>"YES"</formula>
    </cfRule>
    <cfRule type="cellIs" dxfId="17" priority="24" operator="equal">
      <formula>"NO"</formula>
    </cfRule>
    <cfRule type="cellIs" dxfId="16" priority="25" operator="equal">
      <formula>"YES"</formula>
    </cfRule>
  </conditionalFormatting>
  <conditionalFormatting sqref="M1:M1048576">
    <cfRule type="cellIs" dxfId="15" priority="19" operator="equal">
      <formula>"MARRIED"</formula>
    </cfRule>
    <cfRule type="dataBar" priority="20">
      <dataBar>
        <cfvo type="min"/>
        <cfvo type="max"/>
        <color rgb="FF008AEF"/>
      </dataBar>
      <extLst>
        <ext xmlns:x14="http://schemas.microsoft.com/office/spreadsheetml/2009/9/main" uri="{B025F937-C7B1-47D3-B67F-A62EFF666E3E}">
          <x14:id>{9530C7D0-FA51-424D-99EB-0AF2403765DA}</x14:id>
        </ext>
      </extLst>
    </cfRule>
    <cfRule type="cellIs" dxfId="14" priority="21" operator="equal">
      <formula>"DIVORCED"</formula>
    </cfRule>
    <cfRule type="cellIs" dxfId="13" priority="22" operator="equal">
      <formula>"MARRIED"</formula>
    </cfRule>
    <cfRule type="cellIs" dxfId="12" priority="23" operator="equal">
      <formula>"SINGLE"</formula>
    </cfRule>
  </conditionalFormatting>
  <conditionalFormatting sqref="O1:O1048576">
    <cfRule type="containsText" dxfId="11" priority="4" operator="containsText" text="hyderabad">
      <formula>NOT(ISERROR(SEARCH("hyderabad",O1)))</formula>
    </cfRule>
    <cfRule type="containsText" dxfId="10" priority="5" operator="containsText" text="delhi">
      <formula>NOT(ISERROR(SEARCH("delhi",O1)))</formula>
    </cfRule>
    <cfRule type="containsText" dxfId="9" priority="6" operator="containsText" text="che">
      <formula>NOT(ISERROR(SEARCH("che",O1)))</formula>
    </cfRule>
    <cfRule type="colorScale" priority="7">
      <colorScale>
        <cfvo type="min"/>
        <cfvo type="percentile" val="50"/>
        <cfvo type="max"/>
        <color rgb="FFF8696B"/>
        <color rgb="FFFCFCFF"/>
        <color rgb="FF63BE7B"/>
      </colorScale>
    </cfRule>
    <cfRule type="colorScale" priority="9">
      <colorScale>
        <cfvo type="min"/>
        <cfvo type="max"/>
        <color rgb="FFF8696B"/>
        <color rgb="FFFCFCFF"/>
      </colorScale>
    </cfRule>
  </conditionalFormatting>
  <conditionalFormatting sqref="O2:O501">
    <cfRule type="containsText" dxfId="8" priority="8" operator="containsText" text="Chennai">
      <formula>NOT(ISERROR(SEARCH("Chennai",O2)))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530C7D0-FA51-424D-99EB-0AF2403765DA}">
            <x14:dataBar minLength="0" maxLength="100" border="1" negativeBarBorderColorSameAsPositive="0">
              <x14:cfvo type="autoMin"/>
              <x14:cfvo type="autoMax"/>
              <x14:borderColor rgb="FF008AEF"/>
              <x14:negativeFillColor rgb="FFFF0000"/>
              <x14:negativeBorderColor rgb="FFFF0000"/>
              <x14:axisColor rgb="FF000000"/>
            </x14:dataBar>
          </x14:cfRule>
          <xm:sqref>M1:M1048576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D733-5B26-4926-B250-088308C41FD1}">
  <dimension ref="A1:O501"/>
  <sheetViews>
    <sheetView tabSelected="1" workbookViewId="0">
      <selection activeCell="H8" sqref="H8"/>
    </sheetView>
  </sheetViews>
  <sheetFormatPr defaultRowHeight="15" x14ac:dyDescent="0.25"/>
  <cols>
    <col min="1" max="1" width="14" bestFit="1" customWidth="1"/>
    <col min="2" max="2" width="6.7109375" bestFit="1" customWidth="1"/>
    <col min="3" max="3" width="10" bestFit="1" customWidth="1"/>
    <col min="4" max="4" width="14" bestFit="1" customWidth="1"/>
    <col min="5" max="5" width="10.7109375" bestFit="1" customWidth="1"/>
    <col min="6" max="6" width="18" bestFit="1" customWidth="1"/>
    <col min="7" max="7" width="17.140625" bestFit="1" customWidth="1"/>
    <col min="8" max="8" width="21" bestFit="1" customWidth="1"/>
    <col min="9" max="9" width="18.85546875" bestFit="1" customWidth="1"/>
    <col min="10" max="10" width="11.7109375" bestFit="1" customWidth="1"/>
    <col min="11" max="11" width="19.5703125" bestFit="1" customWidth="1"/>
    <col min="12" max="12" width="10.85546875" bestFit="1" customWidth="1"/>
    <col min="13" max="13" width="15.7109375" bestFit="1" customWidth="1"/>
    <col min="14" max="14" width="16.140625" bestFit="1" customWidth="1"/>
    <col min="15" max="15" width="10.5703125" bestFit="1" customWidth="1"/>
    <col min="16" max="16" width="17.7109375" bestFit="1" customWidth="1"/>
    <col min="17" max="17" width="20.5703125" bestFit="1" customWidth="1"/>
    <col min="18" max="18" width="19.5703125" bestFit="1" customWidth="1"/>
    <col min="19" max="19" width="11.7109375" bestFit="1" customWidth="1"/>
    <col min="20" max="20" width="18.5703125" bestFit="1" customWidth="1"/>
    <col min="21" max="21" width="10.85546875" bestFit="1" customWidth="1"/>
    <col min="22" max="22" width="15.140625" bestFit="1" customWidth="1"/>
    <col min="23" max="23" width="15.7109375" bestFit="1" customWidth="1"/>
    <col min="24" max="24" width="10.5703125" bestFit="1" customWidth="1"/>
  </cols>
  <sheetData>
    <row r="1" spans="1:15" x14ac:dyDescent="0.25">
      <c r="A1" t="s">
        <v>0</v>
      </c>
      <c r="B1" t="s">
        <v>1</v>
      </c>
      <c r="C1" t="s">
        <v>2</v>
      </c>
      <c r="D1" t="s">
        <v>3</v>
      </c>
      <c r="E1" t="s">
        <v>593</v>
      </c>
      <c r="F1" t="s">
        <v>594</v>
      </c>
      <c r="G1" t="s">
        <v>595</v>
      </c>
      <c r="H1" t="s">
        <v>596</v>
      </c>
      <c r="I1" t="s">
        <v>597</v>
      </c>
      <c r="J1" t="s">
        <v>9</v>
      </c>
      <c r="K1" t="s">
        <v>598</v>
      </c>
      <c r="L1" t="s">
        <v>11</v>
      </c>
      <c r="M1" t="s">
        <v>599</v>
      </c>
      <c r="N1" t="s">
        <v>600</v>
      </c>
      <c r="O1" t="s">
        <v>14</v>
      </c>
    </row>
    <row r="2" spans="1:15" x14ac:dyDescent="0.25">
      <c r="A2" s="31" t="s">
        <v>15</v>
      </c>
      <c r="B2">
        <v>28</v>
      </c>
      <c r="C2" s="31" t="s">
        <v>16</v>
      </c>
      <c r="D2" s="31" t="s">
        <v>17</v>
      </c>
      <c r="E2" s="31" t="s">
        <v>18</v>
      </c>
      <c r="F2">
        <v>50098</v>
      </c>
      <c r="G2">
        <v>2</v>
      </c>
      <c r="H2">
        <v>2</v>
      </c>
      <c r="I2">
        <v>1</v>
      </c>
      <c r="J2" s="31" t="s">
        <v>19</v>
      </c>
      <c r="K2">
        <v>18</v>
      </c>
      <c r="L2" s="31" t="s">
        <v>20</v>
      </c>
      <c r="M2" s="31" t="s">
        <v>21</v>
      </c>
      <c r="N2">
        <v>8</v>
      </c>
      <c r="O2" s="31" t="s">
        <v>22</v>
      </c>
    </row>
    <row r="3" spans="1:15" x14ac:dyDescent="0.25">
      <c r="A3" s="31" t="s">
        <v>23</v>
      </c>
      <c r="B3">
        <v>34</v>
      </c>
      <c r="C3" s="31" t="s">
        <v>16</v>
      </c>
      <c r="D3" s="31" t="s">
        <v>24</v>
      </c>
      <c r="E3" s="31" t="s">
        <v>25</v>
      </c>
      <c r="F3">
        <v>21478</v>
      </c>
      <c r="G3">
        <v>5</v>
      </c>
      <c r="H3">
        <v>2</v>
      </c>
      <c r="I3">
        <v>5</v>
      </c>
      <c r="J3" s="31" t="s">
        <v>20</v>
      </c>
      <c r="K3">
        <v>7</v>
      </c>
      <c r="L3" s="31" t="s">
        <v>20</v>
      </c>
      <c r="M3" s="31" t="s">
        <v>26</v>
      </c>
      <c r="N3">
        <v>40</v>
      </c>
      <c r="O3" s="31" t="s">
        <v>22</v>
      </c>
    </row>
    <row r="4" spans="1:15" x14ac:dyDescent="0.25">
      <c r="A4" s="31" t="s">
        <v>27</v>
      </c>
      <c r="B4">
        <v>31</v>
      </c>
      <c r="C4" s="31" t="s">
        <v>28</v>
      </c>
      <c r="D4" s="31" t="s">
        <v>29</v>
      </c>
      <c r="E4" s="31" t="s">
        <v>18</v>
      </c>
      <c r="F4">
        <v>38379</v>
      </c>
      <c r="G4">
        <v>2</v>
      </c>
      <c r="H4">
        <v>3</v>
      </c>
      <c r="I4">
        <v>1</v>
      </c>
      <c r="J4" s="31" t="s">
        <v>19</v>
      </c>
      <c r="K4">
        <v>12</v>
      </c>
      <c r="L4" s="31" t="s">
        <v>19</v>
      </c>
      <c r="M4" s="31" t="s">
        <v>30</v>
      </c>
      <c r="N4">
        <v>49</v>
      </c>
      <c r="O4" s="31" t="s">
        <v>31</v>
      </c>
    </row>
    <row r="5" spans="1:15" x14ac:dyDescent="0.25">
      <c r="A5" s="31" t="s">
        <v>32</v>
      </c>
      <c r="B5">
        <v>37</v>
      </c>
      <c r="C5" s="31" t="s">
        <v>16</v>
      </c>
      <c r="D5" s="31" t="s">
        <v>17</v>
      </c>
      <c r="E5" s="31" t="s">
        <v>33</v>
      </c>
      <c r="F5">
        <v>88284</v>
      </c>
      <c r="G5">
        <v>1</v>
      </c>
      <c r="H5">
        <v>4</v>
      </c>
      <c r="I5">
        <v>1</v>
      </c>
      <c r="J5" s="31" t="s">
        <v>20</v>
      </c>
      <c r="K5">
        <v>20</v>
      </c>
      <c r="L5" s="31" t="s">
        <v>20</v>
      </c>
      <c r="M5" s="31" t="s">
        <v>26</v>
      </c>
      <c r="N5">
        <v>29</v>
      </c>
      <c r="O5" s="31" t="s">
        <v>22</v>
      </c>
    </row>
    <row r="6" spans="1:15" x14ac:dyDescent="0.25">
      <c r="A6" s="31" t="s">
        <v>34</v>
      </c>
      <c r="B6">
        <v>23</v>
      </c>
      <c r="C6" s="31" t="s">
        <v>16</v>
      </c>
      <c r="D6" s="31" t="s">
        <v>29</v>
      </c>
      <c r="E6" s="31" t="s">
        <v>35</v>
      </c>
      <c r="F6">
        <v>48512</v>
      </c>
      <c r="G6">
        <v>1</v>
      </c>
      <c r="H6">
        <v>4</v>
      </c>
      <c r="I6">
        <v>3</v>
      </c>
      <c r="J6" s="31" t="s">
        <v>20</v>
      </c>
      <c r="K6">
        <v>20</v>
      </c>
      <c r="L6" s="31" t="s">
        <v>20</v>
      </c>
      <c r="M6" s="31" t="s">
        <v>21</v>
      </c>
      <c r="N6">
        <v>52</v>
      </c>
      <c r="O6" s="31" t="s">
        <v>36</v>
      </c>
    </row>
    <row r="7" spans="1:15" x14ac:dyDescent="0.25">
      <c r="A7" s="31" t="s">
        <v>37</v>
      </c>
      <c r="B7">
        <v>34</v>
      </c>
      <c r="C7" s="31" t="s">
        <v>28</v>
      </c>
      <c r="D7" s="31" t="s">
        <v>17</v>
      </c>
      <c r="E7" s="31" t="s">
        <v>38</v>
      </c>
      <c r="F7">
        <v>102939</v>
      </c>
      <c r="G7">
        <v>1</v>
      </c>
      <c r="H7">
        <v>5</v>
      </c>
      <c r="I7">
        <v>2</v>
      </c>
      <c r="J7" s="31" t="s">
        <v>19</v>
      </c>
      <c r="K7">
        <v>5</v>
      </c>
      <c r="L7" s="31" t="s">
        <v>20</v>
      </c>
      <c r="M7" s="31" t="s">
        <v>30</v>
      </c>
      <c r="N7">
        <v>39</v>
      </c>
      <c r="O7" s="31" t="s">
        <v>31</v>
      </c>
    </row>
    <row r="8" spans="1:15" x14ac:dyDescent="0.25">
      <c r="A8" s="31" t="s">
        <v>39</v>
      </c>
      <c r="B8">
        <v>35</v>
      </c>
      <c r="C8" s="31" t="s">
        <v>28</v>
      </c>
      <c r="D8" s="31" t="s">
        <v>40</v>
      </c>
      <c r="E8" s="31" t="s">
        <v>550</v>
      </c>
      <c r="F8">
        <v>22207</v>
      </c>
      <c r="G8">
        <v>3</v>
      </c>
      <c r="H8">
        <v>4</v>
      </c>
      <c r="I8">
        <v>3</v>
      </c>
      <c r="J8" s="31" t="s">
        <v>19</v>
      </c>
      <c r="K8">
        <v>6</v>
      </c>
      <c r="L8" s="31" t="s">
        <v>20</v>
      </c>
      <c r="M8" s="31" t="s">
        <v>21</v>
      </c>
      <c r="N8">
        <v>68</v>
      </c>
      <c r="O8" s="31" t="s">
        <v>42</v>
      </c>
    </row>
    <row r="9" spans="1:15" x14ac:dyDescent="0.25">
      <c r="A9" s="31" t="s">
        <v>43</v>
      </c>
      <c r="B9">
        <v>50</v>
      </c>
      <c r="C9" s="31" t="s">
        <v>16</v>
      </c>
      <c r="D9" s="31" t="s">
        <v>29</v>
      </c>
      <c r="E9" s="31" t="s">
        <v>41</v>
      </c>
      <c r="F9">
        <v>50325</v>
      </c>
      <c r="G9">
        <v>5</v>
      </c>
      <c r="H9">
        <v>5</v>
      </c>
      <c r="I9">
        <v>3</v>
      </c>
      <c r="J9" s="31" t="s">
        <v>20</v>
      </c>
      <c r="K9">
        <v>18</v>
      </c>
      <c r="L9" s="31" t="s">
        <v>20</v>
      </c>
      <c r="M9" s="31" t="s">
        <v>30</v>
      </c>
      <c r="N9">
        <v>33</v>
      </c>
      <c r="O9" s="31" t="s">
        <v>44</v>
      </c>
    </row>
    <row r="10" spans="1:15" x14ac:dyDescent="0.25">
      <c r="A10" s="31" t="s">
        <v>45</v>
      </c>
      <c r="B10">
        <v>53</v>
      </c>
      <c r="C10" s="31" t="s">
        <v>28</v>
      </c>
      <c r="D10" s="31" t="s">
        <v>40</v>
      </c>
      <c r="E10" s="31" t="s">
        <v>35</v>
      </c>
      <c r="F10">
        <v>32371</v>
      </c>
      <c r="G10">
        <v>2</v>
      </c>
      <c r="H10">
        <v>2</v>
      </c>
      <c r="I10">
        <v>4</v>
      </c>
      <c r="J10" s="31" t="s">
        <v>19</v>
      </c>
      <c r="K10">
        <v>12</v>
      </c>
      <c r="L10" s="31" t="s">
        <v>20</v>
      </c>
      <c r="M10" s="31" t="s">
        <v>26</v>
      </c>
      <c r="N10">
        <v>64</v>
      </c>
      <c r="O10" s="31" t="s">
        <v>31</v>
      </c>
    </row>
    <row r="11" spans="1:15" x14ac:dyDescent="0.25">
      <c r="A11" s="31" t="s">
        <v>46</v>
      </c>
      <c r="B11">
        <v>37</v>
      </c>
      <c r="C11" s="31" t="s">
        <v>16</v>
      </c>
      <c r="D11" s="31" t="s">
        <v>17</v>
      </c>
      <c r="E11" s="31" t="s">
        <v>38</v>
      </c>
      <c r="F11">
        <v>33014</v>
      </c>
      <c r="G11">
        <v>5</v>
      </c>
      <c r="H11">
        <v>3</v>
      </c>
      <c r="I11">
        <v>3</v>
      </c>
      <c r="J11" s="31" t="s">
        <v>19</v>
      </c>
      <c r="K11">
        <v>9</v>
      </c>
      <c r="L11" s="31" t="s">
        <v>20</v>
      </c>
      <c r="M11" s="31" t="s">
        <v>21</v>
      </c>
      <c r="N11">
        <v>63</v>
      </c>
      <c r="O11" s="31" t="s">
        <v>22</v>
      </c>
    </row>
    <row r="12" spans="1:15" x14ac:dyDescent="0.25">
      <c r="A12" s="31" t="s">
        <v>47</v>
      </c>
      <c r="B12">
        <v>37</v>
      </c>
      <c r="C12" s="31" t="s">
        <v>16</v>
      </c>
      <c r="D12" s="31" t="s">
        <v>24</v>
      </c>
      <c r="E12" s="31" t="s">
        <v>35</v>
      </c>
      <c r="F12">
        <v>99959</v>
      </c>
      <c r="G12">
        <v>3</v>
      </c>
      <c r="H12">
        <v>5</v>
      </c>
      <c r="I12">
        <v>5</v>
      </c>
      <c r="J12" s="31" t="s">
        <v>19</v>
      </c>
      <c r="K12">
        <v>4</v>
      </c>
      <c r="L12" s="31" t="s">
        <v>20</v>
      </c>
      <c r="M12" s="31" t="s">
        <v>21</v>
      </c>
      <c r="N12">
        <v>74</v>
      </c>
      <c r="O12" s="31" t="s">
        <v>31</v>
      </c>
    </row>
    <row r="13" spans="1:15" x14ac:dyDescent="0.25">
      <c r="A13" s="31" t="s">
        <v>48</v>
      </c>
      <c r="B13">
        <v>21</v>
      </c>
      <c r="C13" s="31" t="s">
        <v>28</v>
      </c>
      <c r="D13" s="31" t="s">
        <v>49</v>
      </c>
      <c r="E13" s="31" t="s">
        <v>35</v>
      </c>
      <c r="F13">
        <v>32662</v>
      </c>
      <c r="G13">
        <v>3</v>
      </c>
      <c r="H13">
        <v>3</v>
      </c>
      <c r="I13">
        <v>2</v>
      </c>
      <c r="J13" s="31" t="s">
        <v>19</v>
      </c>
      <c r="K13">
        <v>7</v>
      </c>
      <c r="L13" s="31" t="s">
        <v>19</v>
      </c>
      <c r="M13" s="31" t="s">
        <v>21</v>
      </c>
      <c r="N13">
        <v>67</v>
      </c>
      <c r="O13" s="31" t="s">
        <v>22</v>
      </c>
    </row>
    <row r="14" spans="1:15" x14ac:dyDescent="0.25">
      <c r="A14" s="31" t="s">
        <v>50</v>
      </c>
      <c r="B14">
        <v>55</v>
      </c>
      <c r="C14" s="31" t="s">
        <v>16</v>
      </c>
      <c r="D14" s="31" t="s">
        <v>51</v>
      </c>
      <c r="E14" s="31" t="s">
        <v>38</v>
      </c>
      <c r="F14">
        <v>80296</v>
      </c>
      <c r="G14">
        <v>5</v>
      </c>
      <c r="H14">
        <v>2</v>
      </c>
      <c r="I14">
        <v>3</v>
      </c>
      <c r="J14" s="31" t="s">
        <v>20</v>
      </c>
      <c r="K14">
        <v>6</v>
      </c>
      <c r="L14" s="31" t="s">
        <v>19</v>
      </c>
      <c r="M14" s="31" t="s">
        <v>26</v>
      </c>
      <c r="N14">
        <v>44</v>
      </c>
      <c r="O14" s="31" t="s">
        <v>42</v>
      </c>
    </row>
    <row r="15" spans="1:15" x14ac:dyDescent="0.25">
      <c r="A15" s="31" t="s">
        <v>52</v>
      </c>
      <c r="B15">
        <v>44</v>
      </c>
      <c r="C15" s="31" t="s">
        <v>28</v>
      </c>
      <c r="D15" s="31" t="s">
        <v>24</v>
      </c>
      <c r="E15" s="31" t="s">
        <v>33</v>
      </c>
      <c r="F15">
        <v>33860</v>
      </c>
      <c r="G15">
        <v>2</v>
      </c>
      <c r="H15">
        <v>2</v>
      </c>
      <c r="I15">
        <v>1</v>
      </c>
      <c r="J15" s="31" t="s">
        <v>20</v>
      </c>
      <c r="K15">
        <v>0</v>
      </c>
      <c r="L15" s="31" t="s">
        <v>19</v>
      </c>
      <c r="M15" s="31" t="s">
        <v>26</v>
      </c>
      <c r="N15">
        <v>33</v>
      </c>
      <c r="O15" s="31" t="s">
        <v>22</v>
      </c>
    </row>
    <row r="16" spans="1:15" x14ac:dyDescent="0.25">
      <c r="A16" s="31" t="s">
        <v>53</v>
      </c>
      <c r="B16">
        <v>25</v>
      </c>
      <c r="C16" s="31" t="s">
        <v>16</v>
      </c>
      <c r="D16" s="31" t="s">
        <v>51</v>
      </c>
      <c r="E16" s="31" t="s">
        <v>35</v>
      </c>
      <c r="F16">
        <v>22117</v>
      </c>
      <c r="G16">
        <v>3</v>
      </c>
      <c r="H16">
        <v>1</v>
      </c>
      <c r="I16">
        <v>5</v>
      </c>
      <c r="J16" s="31" t="s">
        <v>19</v>
      </c>
      <c r="K16">
        <v>8</v>
      </c>
      <c r="L16" s="31" t="s">
        <v>20</v>
      </c>
      <c r="M16" s="31" t="s">
        <v>21</v>
      </c>
      <c r="N16">
        <v>74</v>
      </c>
      <c r="O16" s="31" t="s">
        <v>44</v>
      </c>
    </row>
    <row r="17" spans="1:15" x14ac:dyDescent="0.25">
      <c r="A17" s="31" t="s">
        <v>54</v>
      </c>
      <c r="B17">
        <v>57</v>
      </c>
      <c r="C17" s="31" t="s">
        <v>28</v>
      </c>
      <c r="D17" s="31" t="s">
        <v>51</v>
      </c>
      <c r="E17" s="31" t="s">
        <v>549</v>
      </c>
      <c r="F17">
        <v>71354</v>
      </c>
      <c r="G17">
        <v>2</v>
      </c>
      <c r="H17">
        <v>1</v>
      </c>
      <c r="I17">
        <v>1</v>
      </c>
      <c r="J17" s="31" t="s">
        <v>20</v>
      </c>
      <c r="K17">
        <v>11</v>
      </c>
      <c r="L17" s="31" t="s">
        <v>20</v>
      </c>
      <c r="M17" s="31" t="s">
        <v>30</v>
      </c>
      <c r="N17">
        <v>64</v>
      </c>
      <c r="O17" s="31" t="s">
        <v>22</v>
      </c>
    </row>
    <row r="18" spans="1:15" x14ac:dyDescent="0.25">
      <c r="A18" s="31" t="s">
        <v>55</v>
      </c>
      <c r="B18">
        <v>27</v>
      </c>
      <c r="C18" s="31" t="s">
        <v>16</v>
      </c>
      <c r="D18" s="31" t="s">
        <v>49</v>
      </c>
      <c r="E18" s="31" t="s">
        <v>38</v>
      </c>
      <c r="F18">
        <v>62473</v>
      </c>
      <c r="G18">
        <v>3</v>
      </c>
      <c r="H18">
        <v>2</v>
      </c>
      <c r="I18">
        <v>2</v>
      </c>
      <c r="J18" s="31" t="s">
        <v>19</v>
      </c>
      <c r="K18">
        <v>17</v>
      </c>
      <c r="L18" s="31" t="s">
        <v>20</v>
      </c>
      <c r="M18" s="31" t="s">
        <v>21</v>
      </c>
      <c r="N18">
        <v>59</v>
      </c>
      <c r="O18" s="31" t="s">
        <v>44</v>
      </c>
    </row>
    <row r="19" spans="1:15" x14ac:dyDescent="0.25">
      <c r="A19" s="31" t="s">
        <v>56</v>
      </c>
      <c r="B19">
        <v>38</v>
      </c>
      <c r="C19" s="31" t="s">
        <v>28</v>
      </c>
      <c r="D19" s="31" t="s">
        <v>51</v>
      </c>
      <c r="E19" s="31" t="s">
        <v>548</v>
      </c>
      <c r="F19">
        <v>76082</v>
      </c>
      <c r="G19">
        <v>5</v>
      </c>
      <c r="H19">
        <v>3</v>
      </c>
      <c r="I19">
        <v>1</v>
      </c>
      <c r="J19" s="31" t="s">
        <v>19</v>
      </c>
      <c r="K19">
        <v>2</v>
      </c>
      <c r="L19" s="31" t="s">
        <v>19</v>
      </c>
      <c r="M19" s="31" t="s">
        <v>21</v>
      </c>
      <c r="N19">
        <v>57</v>
      </c>
      <c r="O19" s="31" t="s">
        <v>42</v>
      </c>
    </row>
    <row r="20" spans="1:15" x14ac:dyDescent="0.25">
      <c r="A20" s="31" t="s">
        <v>57</v>
      </c>
      <c r="B20">
        <v>51</v>
      </c>
      <c r="C20" s="31" t="s">
        <v>16</v>
      </c>
      <c r="D20" s="31" t="s">
        <v>49</v>
      </c>
      <c r="E20" s="31" t="s">
        <v>35</v>
      </c>
      <c r="F20">
        <v>39579</v>
      </c>
      <c r="G20">
        <v>4</v>
      </c>
      <c r="H20">
        <v>1</v>
      </c>
      <c r="I20">
        <v>4</v>
      </c>
      <c r="J20" s="31" t="s">
        <v>20</v>
      </c>
      <c r="K20">
        <v>14</v>
      </c>
      <c r="L20" s="31" t="s">
        <v>20</v>
      </c>
      <c r="M20" s="31" t="s">
        <v>30</v>
      </c>
      <c r="N20">
        <v>76</v>
      </c>
      <c r="O20" s="31" t="s">
        <v>42</v>
      </c>
    </row>
    <row r="21" spans="1:15" x14ac:dyDescent="0.25">
      <c r="A21" s="31" t="s">
        <v>58</v>
      </c>
      <c r="B21">
        <v>30</v>
      </c>
      <c r="C21" s="31" t="s">
        <v>16</v>
      </c>
      <c r="D21" s="31" t="s">
        <v>29</v>
      </c>
      <c r="E21" s="31" t="s">
        <v>551</v>
      </c>
      <c r="F21">
        <v>25665</v>
      </c>
      <c r="G21">
        <v>5</v>
      </c>
      <c r="H21">
        <v>5</v>
      </c>
      <c r="I21">
        <v>1</v>
      </c>
      <c r="J21" s="31" t="s">
        <v>20</v>
      </c>
      <c r="K21">
        <v>1</v>
      </c>
      <c r="L21" s="31" t="s">
        <v>19</v>
      </c>
      <c r="M21" s="31" t="s">
        <v>26</v>
      </c>
      <c r="N21">
        <v>66</v>
      </c>
      <c r="O21" s="31" t="s">
        <v>31</v>
      </c>
    </row>
    <row r="22" spans="1:15" x14ac:dyDescent="0.25">
      <c r="A22" s="31" t="s">
        <v>59</v>
      </c>
      <c r="B22">
        <v>54</v>
      </c>
      <c r="C22" s="31" t="s">
        <v>16</v>
      </c>
      <c r="D22" s="31" t="s">
        <v>40</v>
      </c>
      <c r="E22" s="31" t="s">
        <v>552</v>
      </c>
      <c r="F22">
        <v>28500</v>
      </c>
      <c r="G22">
        <v>2</v>
      </c>
      <c r="H22">
        <v>3</v>
      </c>
      <c r="I22">
        <v>5</v>
      </c>
      <c r="J22" s="31" t="s">
        <v>19</v>
      </c>
      <c r="K22">
        <v>7</v>
      </c>
      <c r="L22" s="31" t="s">
        <v>20</v>
      </c>
      <c r="M22" s="31" t="s">
        <v>21</v>
      </c>
      <c r="N22">
        <v>77</v>
      </c>
      <c r="O22" s="31" t="s">
        <v>44</v>
      </c>
    </row>
    <row r="23" spans="1:15" x14ac:dyDescent="0.25">
      <c r="A23" s="31" t="s">
        <v>60</v>
      </c>
      <c r="B23">
        <v>58</v>
      </c>
      <c r="C23" s="31" t="s">
        <v>16</v>
      </c>
      <c r="D23" s="31" t="s">
        <v>24</v>
      </c>
      <c r="E23" s="31" t="s">
        <v>554</v>
      </c>
      <c r="F23">
        <v>72948</v>
      </c>
      <c r="G23">
        <v>5</v>
      </c>
      <c r="H23">
        <v>5</v>
      </c>
      <c r="I23">
        <v>5</v>
      </c>
      <c r="J23" s="31" t="s">
        <v>20</v>
      </c>
      <c r="K23">
        <v>8</v>
      </c>
      <c r="L23" s="31" t="s">
        <v>19</v>
      </c>
      <c r="M23" s="31" t="s">
        <v>26</v>
      </c>
      <c r="N23">
        <v>45</v>
      </c>
      <c r="O23" s="31" t="s">
        <v>44</v>
      </c>
    </row>
    <row r="24" spans="1:15" x14ac:dyDescent="0.25">
      <c r="A24" s="31" t="s">
        <v>61</v>
      </c>
      <c r="B24">
        <v>37</v>
      </c>
      <c r="C24" s="31" t="s">
        <v>28</v>
      </c>
      <c r="D24" s="31" t="s">
        <v>51</v>
      </c>
      <c r="E24" s="31" t="s">
        <v>38</v>
      </c>
      <c r="F24">
        <v>102607</v>
      </c>
      <c r="G24">
        <v>3</v>
      </c>
      <c r="H24">
        <v>3</v>
      </c>
      <c r="I24">
        <v>3</v>
      </c>
      <c r="J24" s="31" t="s">
        <v>19</v>
      </c>
      <c r="K24">
        <v>0</v>
      </c>
      <c r="L24" s="31" t="s">
        <v>20</v>
      </c>
      <c r="M24" s="31" t="s">
        <v>26</v>
      </c>
      <c r="N24">
        <v>77</v>
      </c>
      <c r="O24" s="31" t="s">
        <v>22</v>
      </c>
    </row>
    <row r="25" spans="1:15" x14ac:dyDescent="0.25">
      <c r="A25" s="31" t="s">
        <v>62</v>
      </c>
      <c r="B25">
        <v>25</v>
      </c>
      <c r="C25" s="31" t="s">
        <v>16</v>
      </c>
      <c r="D25" s="31" t="s">
        <v>24</v>
      </c>
      <c r="E25" s="31" t="s">
        <v>18</v>
      </c>
      <c r="F25">
        <v>35361</v>
      </c>
      <c r="G25">
        <v>3</v>
      </c>
      <c r="H25">
        <v>1</v>
      </c>
      <c r="I25">
        <v>2</v>
      </c>
      <c r="J25" s="31" t="s">
        <v>20</v>
      </c>
      <c r="K25">
        <v>9</v>
      </c>
      <c r="L25" s="31" t="s">
        <v>19</v>
      </c>
      <c r="M25" s="31" t="s">
        <v>30</v>
      </c>
      <c r="N25">
        <v>74</v>
      </c>
      <c r="O25" s="31" t="s">
        <v>36</v>
      </c>
    </row>
    <row r="26" spans="1:15" x14ac:dyDescent="0.25">
      <c r="A26" s="31" t="s">
        <v>63</v>
      </c>
      <c r="B26">
        <v>54</v>
      </c>
      <c r="C26" s="31" t="s">
        <v>16</v>
      </c>
      <c r="D26" s="31" t="s">
        <v>17</v>
      </c>
      <c r="E26" s="31" t="s">
        <v>25</v>
      </c>
      <c r="F26">
        <v>57240</v>
      </c>
      <c r="G26">
        <v>1</v>
      </c>
      <c r="H26">
        <v>2</v>
      </c>
      <c r="I26">
        <v>3</v>
      </c>
      <c r="J26" s="31" t="s">
        <v>19</v>
      </c>
      <c r="K26">
        <v>3</v>
      </c>
      <c r="L26" s="31" t="s">
        <v>19</v>
      </c>
      <c r="M26" s="31" t="s">
        <v>30</v>
      </c>
      <c r="N26">
        <v>41</v>
      </c>
      <c r="O26" s="31" t="s">
        <v>31</v>
      </c>
    </row>
    <row r="27" spans="1:15" x14ac:dyDescent="0.25">
      <c r="A27" s="31" t="s">
        <v>64</v>
      </c>
      <c r="B27">
        <v>34</v>
      </c>
      <c r="C27" s="31" t="s">
        <v>28</v>
      </c>
      <c r="D27" s="31" t="s">
        <v>51</v>
      </c>
      <c r="E27" s="31" t="s">
        <v>38</v>
      </c>
      <c r="F27">
        <v>101130</v>
      </c>
      <c r="G27">
        <v>3</v>
      </c>
      <c r="H27">
        <v>5</v>
      </c>
      <c r="I27">
        <v>4</v>
      </c>
      <c r="J27" s="31" t="s">
        <v>20</v>
      </c>
      <c r="K27">
        <v>1</v>
      </c>
      <c r="L27" s="31" t="s">
        <v>19</v>
      </c>
      <c r="M27" s="31" t="s">
        <v>26</v>
      </c>
      <c r="N27">
        <v>59</v>
      </c>
      <c r="O27" s="31" t="s">
        <v>36</v>
      </c>
    </row>
    <row r="28" spans="1:15" x14ac:dyDescent="0.25">
      <c r="A28" s="31" t="s">
        <v>65</v>
      </c>
      <c r="B28">
        <v>23</v>
      </c>
      <c r="C28" s="31" t="s">
        <v>16</v>
      </c>
      <c r="D28" s="31" t="s">
        <v>29</v>
      </c>
      <c r="E28" s="31" t="s">
        <v>41</v>
      </c>
      <c r="F28">
        <v>101507</v>
      </c>
      <c r="G28">
        <v>3</v>
      </c>
      <c r="H28">
        <v>2</v>
      </c>
      <c r="I28">
        <v>4</v>
      </c>
      <c r="J28" s="31" t="s">
        <v>20</v>
      </c>
      <c r="K28">
        <v>17</v>
      </c>
      <c r="L28" s="31" t="s">
        <v>19</v>
      </c>
      <c r="M28" s="31" t="s">
        <v>21</v>
      </c>
      <c r="N28">
        <v>14</v>
      </c>
      <c r="O28" s="31" t="s">
        <v>44</v>
      </c>
    </row>
    <row r="29" spans="1:15" x14ac:dyDescent="0.25">
      <c r="A29" s="31" t="s">
        <v>66</v>
      </c>
      <c r="B29">
        <v>55</v>
      </c>
      <c r="C29" s="31" t="s">
        <v>16</v>
      </c>
      <c r="D29" s="31" t="s">
        <v>29</v>
      </c>
      <c r="E29" s="31" t="s">
        <v>25</v>
      </c>
      <c r="F29">
        <v>90420</v>
      </c>
      <c r="G29">
        <v>2</v>
      </c>
      <c r="H29">
        <v>4</v>
      </c>
      <c r="I29">
        <v>2</v>
      </c>
      <c r="J29" s="31" t="s">
        <v>19</v>
      </c>
      <c r="K29">
        <v>9</v>
      </c>
      <c r="L29" s="31" t="s">
        <v>20</v>
      </c>
      <c r="M29" s="31" t="s">
        <v>21</v>
      </c>
      <c r="N29">
        <v>50</v>
      </c>
      <c r="O29" s="31" t="s">
        <v>44</v>
      </c>
    </row>
    <row r="30" spans="1:15" x14ac:dyDescent="0.25">
      <c r="A30" s="31" t="s">
        <v>67</v>
      </c>
      <c r="B30">
        <v>36</v>
      </c>
      <c r="C30" s="31" t="s">
        <v>16</v>
      </c>
      <c r="D30" s="31" t="s">
        <v>29</v>
      </c>
      <c r="E30" s="31" t="s">
        <v>25</v>
      </c>
      <c r="F30">
        <v>71264</v>
      </c>
      <c r="G30">
        <v>5</v>
      </c>
      <c r="H30">
        <v>2</v>
      </c>
      <c r="I30">
        <v>2</v>
      </c>
      <c r="J30" s="31" t="s">
        <v>19</v>
      </c>
      <c r="K30">
        <v>5</v>
      </c>
      <c r="L30" s="31" t="s">
        <v>20</v>
      </c>
      <c r="M30" s="31" t="s">
        <v>21</v>
      </c>
      <c r="N30">
        <v>27</v>
      </c>
      <c r="O30" s="31" t="s">
        <v>36</v>
      </c>
    </row>
    <row r="31" spans="1:15" x14ac:dyDescent="0.25">
      <c r="A31" s="31" t="s">
        <v>68</v>
      </c>
      <c r="B31">
        <v>47</v>
      </c>
      <c r="C31" s="31" t="s">
        <v>16</v>
      </c>
      <c r="D31" s="31" t="s">
        <v>29</v>
      </c>
      <c r="E31" s="31" t="s">
        <v>41</v>
      </c>
      <c r="F31">
        <v>109917</v>
      </c>
      <c r="G31">
        <v>1</v>
      </c>
      <c r="H31">
        <v>4</v>
      </c>
      <c r="I31">
        <v>1</v>
      </c>
      <c r="J31" s="31" t="s">
        <v>20</v>
      </c>
      <c r="K31">
        <v>7</v>
      </c>
      <c r="L31" s="31" t="s">
        <v>19</v>
      </c>
      <c r="M31" s="31" t="s">
        <v>30</v>
      </c>
      <c r="N31">
        <v>49</v>
      </c>
      <c r="O31" s="31" t="s">
        <v>36</v>
      </c>
    </row>
    <row r="32" spans="1:15" x14ac:dyDescent="0.25">
      <c r="A32" s="31" t="s">
        <v>69</v>
      </c>
      <c r="B32">
        <v>35</v>
      </c>
      <c r="C32" s="31" t="s">
        <v>16</v>
      </c>
      <c r="D32" s="31" t="s">
        <v>40</v>
      </c>
      <c r="E32" s="31" t="s">
        <v>38</v>
      </c>
      <c r="F32">
        <v>43313</v>
      </c>
      <c r="G32">
        <v>3</v>
      </c>
      <c r="H32">
        <v>3</v>
      </c>
      <c r="I32">
        <v>3</v>
      </c>
      <c r="J32" s="31" t="s">
        <v>19</v>
      </c>
      <c r="K32">
        <v>8</v>
      </c>
      <c r="L32" s="31" t="s">
        <v>20</v>
      </c>
      <c r="M32" s="31" t="s">
        <v>26</v>
      </c>
      <c r="N32">
        <v>70</v>
      </c>
      <c r="O32" s="31" t="s">
        <v>42</v>
      </c>
    </row>
    <row r="33" spans="1:15" x14ac:dyDescent="0.25">
      <c r="A33" s="31" t="s">
        <v>70</v>
      </c>
      <c r="B33">
        <v>55</v>
      </c>
      <c r="C33" s="31" t="s">
        <v>28</v>
      </c>
      <c r="D33" s="31" t="s">
        <v>40</v>
      </c>
      <c r="E33" s="31" t="s">
        <v>35</v>
      </c>
      <c r="F33">
        <v>52237</v>
      </c>
      <c r="G33">
        <v>2</v>
      </c>
      <c r="H33">
        <v>5</v>
      </c>
      <c r="I33">
        <v>3</v>
      </c>
      <c r="J33" s="31" t="s">
        <v>19</v>
      </c>
      <c r="K33">
        <v>3</v>
      </c>
      <c r="L33" s="31" t="s">
        <v>20</v>
      </c>
      <c r="M33" s="31" t="s">
        <v>30</v>
      </c>
      <c r="N33">
        <v>45</v>
      </c>
      <c r="O33" s="31" t="s">
        <v>42</v>
      </c>
    </row>
    <row r="34" spans="1:15" x14ac:dyDescent="0.25">
      <c r="A34" s="31" t="s">
        <v>71</v>
      </c>
      <c r="B34">
        <v>53</v>
      </c>
      <c r="C34" s="31" t="s">
        <v>16</v>
      </c>
      <c r="D34" s="31" t="s">
        <v>49</v>
      </c>
      <c r="E34" s="31" t="s">
        <v>25</v>
      </c>
      <c r="F34">
        <v>42914</v>
      </c>
      <c r="G34">
        <v>3</v>
      </c>
      <c r="H34">
        <v>1</v>
      </c>
      <c r="I34">
        <v>4</v>
      </c>
      <c r="J34" s="31" t="s">
        <v>19</v>
      </c>
      <c r="K34">
        <v>16</v>
      </c>
      <c r="L34" s="31" t="s">
        <v>19</v>
      </c>
      <c r="M34" s="31" t="s">
        <v>30</v>
      </c>
      <c r="N34">
        <v>60</v>
      </c>
      <c r="O34" s="31" t="s">
        <v>22</v>
      </c>
    </row>
    <row r="35" spans="1:15" x14ac:dyDescent="0.25">
      <c r="A35" s="31" t="s">
        <v>72</v>
      </c>
      <c r="B35">
        <v>42</v>
      </c>
      <c r="C35" s="31" t="s">
        <v>28</v>
      </c>
      <c r="D35" s="31" t="s">
        <v>17</v>
      </c>
      <c r="E35" s="31" t="s">
        <v>35</v>
      </c>
      <c r="F35">
        <v>112339</v>
      </c>
      <c r="G35">
        <v>3</v>
      </c>
      <c r="H35">
        <v>5</v>
      </c>
      <c r="I35">
        <v>3</v>
      </c>
      <c r="J35" s="31" t="s">
        <v>20</v>
      </c>
      <c r="K35">
        <v>10</v>
      </c>
      <c r="L35" s="31" t="s">
        <v>20</v>
      </c>
      <c r="M35" s="31" t="s">
        <v>26</v>
      </c>
      <c r="N35">
        <v>42</v>
      </c>
      <c r="O35" s="31" t="s">
        <v>31</v>
      </c>
    </row>
    <row r="36" spans="1:15" x14ac:dyDescent="0.25">
      <c r="A36" s="31" t="s">
        <v>73</v>
      </c>
      <c r="B36">
        <v>29</v>
      </c>
      <c r="C36" s="31" t="s">
        <v>16</v>
      </c>
      <c r="D36" s="31" t="s">
        <v>49</v>
      </c>
      <c r="E36" s="31" t="s">
        <v>38</v>
      </c>
      <c r="F36">
        <v>67695</v>
      </c>
      <c r="G36">
        <v>2</v>
      </c>
      <c r="H36">
        <v>5</v>
      </c>
      <c r="I36">
        <v>5</v>
      </c>
      <c r="J36" s="31" t="s">
        <v>20</v>
      </c>
      <c r="K36">
        <v>12</v>
      </c>
      <c r="L36" s="31" t="s">
        <v>19</v>
      </c>
      <c r="M36" s="31" t="s">
        <v>30</v>
      </c>
      <c r="N36">
        <v>41</v>
      </c>
      <c r="O36" s="31" t="s">
        <v>44</v>
      </c>
    </row>
    <row r="37" spans="1:15" x14ac:dyDescent="0.25">
      <c r="A37" s="31" t="s">
        <v>74</v>
      </c>
      <c r="B37">
        <v>48</v>
      </c>
      <c r="C37" s="31" t="s">
        <v>28</v>
      </c>
      <c r="D37" s="31" t="s">
        <v>49</v>
      </c>
      <c r="E37" s="31" t="s">
        <v>33</v>
      </c>
      <c r="F37">
        <v>75954</v>
      </c>
      <c r="G37">
        <v>2</v>
      </c>
      <c r="H37">
        <v>5</v>
      </c>
      <c r="I37">
        <v>4</v>
      </c>
      <c r="J37" s="31" t="s">
        <v>19</v>
      </c>
      <c r="K37">
        <v>2</v>
      </c>
      <c r="L37" s="31" t="s">
        <v>20</v>
      </c>
      <c r="M37" s="31" t="s">
        <v>26</v>
      </c>
      <c r="N37">
        <v>47</v>
      </c>
      <c r="O37" s="31" t="s">
        <v>22</v>
      </c>
    </row>
    <row r="38" spans="1:15" x14ac:dyDescent="0.25">
      <c r="A38" s="31" t="s">
        <v>75</v>
      </c>
      <c r="B38">
        <v>36</v>
      </c>
      <c r="C38" s="31" t="s">
        <v>28</v>
      </c>
      <c r="D38" s="31" t="s">
        <v>51</v>
      </c>
      <c r="E38" s="31" t="s">
        <v>41</v>
      </c>
      <c r="F38">
        <v>37313</v>
      </c>
      <c r="G38">
        <v>1</v>
      </c>
      <c r="H38">
        <v>1</v>
      </c>
      <c r="I38">
        <v>2</v>
      </c>
      <c r="J38" s="31" t="s">
        <v>20</v>
      </c>
      <c r="K38">
        <v>19</v>
      </c>
      <c r="L38" s="31" t="s">
        <v>19</v>
      </c>
      <c r="M38" s="31" t="s">
        <v>30</v>
      </c>
      <c r="N38">
        <v>58</v>
      </c>
      <c r="O38" s="31" t="s">
        <v>31</v>
      </c>
    </row>
    <row r="39" spans="1:15" x14ac:dyDescent="0.25">
      <c r="A39" s="31" t="s">
        <v>76</v>
      </c>
      <c r="B39">
        <v>33</v>
      </c>
      <c r="C39" s="31" t="s">
        <v>28</v>
      </c>
      <c r="D39" s="31" t="s">
        <v>49</v>
      </c>
      <c r="E39" s="31" t="s">
        <v>33</v>
      </c>
      <c r="F39">
        <v>49979</v>
      </c>
      <c r="G39">
        <v>2</v>
      </c>
      <c r="H39">
        <v>1</v>
      </c>
      <c r="I39">
        <v>1</v>
      </c>
      <c r="J39" s="31" t="s">
        <v>20</v>
      </c>
      <c r="K39">
        <v>7</v>
      </c>
      <c r="L39" s="31" t="s">
        <v>19</v>
      </c>
      <c r="M39" s="31" t="s">
        <v>26</v>
      </c>
      <c r="N39">
        <v>71</v>
      </c>
      <c r="O39" s="31" t="s">
        <v>42</v>
      </c>
    </row>
    <row r="40" spans="1:15" x14ac:dyDescent="0.25">
      <c r="A40" s="31" t="s">
        <v>77</v>
      </c>
      <c r="B40">
        <v>24</v>
      </c>
      <c r="C40" s="31" t="s">
        <v>16</v>
      </c>
      <c r="D40" s="31" t="s">
        <v>40</v>
      </c>
      <c r="E40" s="31" t="s">
        <v>33</v>
      </c>
      <c r="F40">
        <v>35477</v>
      </c>
      <c r="G40">
        <v>4</v>
      </c>
      <c r="H40">
        <v>5</v>
      </c>
      <c r="I40">
        <v>5</v>
      </c>
      <c r="J40" s="31" t="s">
        <v>20</v>
      </c>
      <c r="K40">
        <v>14</v>
      </c>
      <c r="L40" s="31" t="s">
        <v>20</v>
      </c>
      <c r="M40" s="31" t="s">
        <v>26</v>
      </c>
      <c r="N40">
        <v>62</v>
      </c>
      <c r="O40" s="31" t="s">
        <v>44</v>
      </c>
    </row>
    <row r="41" spans="1:15" x14ac:dyDescent="0.25">
      <c r="A41" s="31" t="s">
        <v>78</v>
      </c>
      <c r="B41">
        <v>51</v>
      </c>
      <c r="C41" s="31" t="s">
        <v>28</v>
      </c>
      <c r="D41" s="31" t="s">
        <v>29</v>
      </c>
      <c r="E41" s="31" t="s">
        <v>41</v>
      </c>
      <c r="F41">
        <v>101579</v>
      </c>
      <c r="G41">
        <v>3</v>
      </c>
      <c r="H41">
        <v>5</v>
      </c>
      <c r="I41">
        <v>4</v>
      </c>
      <c r="J41" s="31" t="s">
        <v>19</v>
      </c>
      <c r="K41">
        <v>8</v>
      </c>
      <c r="L41" s="31" t="s">
        <v>20</v>
      </c>
      <c r="M41" s="31" t="s">
        <v>21</v>
      </c>
      <c r="N41">
        <v>41</v>
      </c>
      <c r="O41" s="31" t="s">
        <v>44</v>
      </c>
    </row>
    <row r="42" spans="1:15" x14ac:dyDescent="0.25">
      <c r="A42" s="31" t="s">
        <v>79</v>
      </c>
      <c r="B42">
        <v>38</v>
      </c>
      <c r="C42" s="31" t="s">
        <v>28</v>
      </c>
      <c r="D42" s="31" t="s">
        <v>29</v>
      </c>
      <c r="E42" s="31" t="s">
        <v>25</v>
      </c>
      <c r="F42">
        <v>28561</v>
      </c>
      <c r="G42">
        <v>2</v>
      </c>
      <c r="H42">
        <v>2</v>
      </c>
      <c r="I42">
        <v>2</v>
      </c>
      <c r="J42" s="31" t="s">
        <v>20</v>
      </c>
      <c r="K42">
        <v>4</v>
      </c>
      <c r="L42" s="31" t="s">
        <v>19</v>
      </c>
      <c r="M42" s="31" t="s">
        <v>21</v>
      </c>
      <c r="N42">
        <v>58</v>
      </c>
      <c r="O42" s="31" t="s">
        <v>42</v>
      </c>
    </row>
    <row r="43" spans="1:15" x14ac:dyDescent="0.25">
      <c r="A43" s="31" t="s">
        <v>80</v>
      </c>
      <c r="B43">
        <v>42</v>
      </c>
      <c r="C43" s="31" t="s">
        <v>28</v>
      </c>
      <c r="D43" s="31" t="s">
        <v>49</v>
      </c>
      <c r="E43" s="31" t="s">
        <v>35</v>
      </c>
      <c r="F43">
        <v>45110</v>
      </c>
      <c r="G43">
        <v>4</v>
      </c>
      <c r="H43">
        <v>4</v>
      </c>
      <c r="I43">
        <v>5</v>
      </c>
      <c r="J43" s="31" t="s">
        <v>19</v>
      </c>
      <c r="K43">
        <v>18</v>
      </c>
      <c r="L43" s="31" t="s">
        <v>20</v>
      </c>
      <c r="M43" s="31" t="s">
        <v>30</v>
      </c>
      <c r="N43">
        <v>5</v>
      </c>
      <c r="O43" s="31" t="s">
        <v>36</v>
      </c>
    </row>
    <row r="44" spans="1:15" x14ac:dyDescent="0.25">
      <c r="A44" s="31" t="s">
        <v>81</v>
      </c>
      <c r="B44">
        <v>40</v>
      </c>
      <c r="C44" s="31" t="s">
        <v>28</v>
      </c>
      <c r="D44" s="31" t="s">
        <v>49</v>
      </c>
      <c r="E44" s="31" t="s">
        <v>25</v>
      </c>
      <c r="F44">
        <v>115978</v>
      </c>
      <c r="G44">
        <v>5</v>
      </c>
      <c r="H44">
        <v>5</v>
      </c>
      <c r="I44">
        <v>2</v>
      </c>
      <c r="J44" s="31" t="s">
        <v>20</v>
      </c>
      <c r="K44">
        <v>7</v>
      </c>
      <c r="L44" s="31" t="s">
        <v>20</v>
      </c>
      <c r="M44" s="31" t="s">
        <v>30</v>
      </c>
      <c r="N44">
        <v>67</v>
      </c>
      <c r="O44" s="31" t="s">
        <v>22</v>
      </c>
    </row>
    <row r="45" spans="1:15" x14ac:dyDescent="0.25">
      <c r="A45" s="31" t="s">
        <v>82</v>
      </c>
      <c r="B45">
        <v>45</v>
      </c>
      <c r="C45" s="31" t="s">
        <v>28</v>
      </c>
      <c r="D45" s="31" t="s">
        <v>17</v>
      </c>
      <c r="E45" s="31" t="s">
        <v>38</v>
      </c>
      <c r="F45">
        <v>70994</v>
      </c>
      <c r="G45">
        <v>2</v>
      </c>
      <c r="H45">
        <v>4</v>
      </c>
      <c r="I45">
        <v>2</v>
      </c>
      <c r="J45" s="31" t="s">
        <v>19</v>
      </c>
      <c r="K45">
        <v>12</v>
      </c>
      <c r="L45" s="31" t="s">
        <v>19</v>
      </c>
      <c r="M45" s="31" t="s">
        <v>21</v>
      </c>
      <c r="N45">
        <v>59</v>
      </c>
      <c r="O45" s="31" t="s">
        <v>44</v>
      </c>
    </row>
    <row r="46" spans="1:15" x14ac:dyDescent="0.25">
      <c r="A46" s="31" t="s">
        <v>83</v>
      </c>
      <c r="B46">
        <v>39</v>
      </c>
      <c r="C46" s="31" t="s">
        <v>16</v>
      </c>
      <c r="D46" s="31" t="s">
        <v>40</v>
      </c>
      <c r="E46" s="31" t="s">
        <v>18</v>
      </c>
      <c r="F46">
        <v>67689</v>
      </c>
      <c r="G46">
        <v>3</v>
      </c>
      <c r="H46">
        <v>2</v>
      </c>
      <c r="I46">
        <v>4</v>
      </c>
      <c r="J46" s="31" t="s">
        <v>20</v>
      </c>
      <c r="K46">
        <v>10</v>
      </c>
      <c r="L46" s="31" t="s">
        <v>20</v>
      </c>
      <c r="M46" s="31" t="s">
        <v>30</v>
      </c>
      <c r="N46">
        <v>58</v>
      </c>
      <c r="O46" s="31" t="s">
        <v>36</v>
      </c>
    </row>
    <row r="47" spans="1:15" x14ac:dyDescent="0.25">
      <c r="A47" s="31" t="s">
        <v>84</v>
      </c>
      <c r="B47">
        <v>26</v>
      </c>
      <c r="C47" s="31" t="s">
        <v>28</v>
      </c>
      <c r="D47" s="31" t="s">
        <v>40</v>
      </c>
      <c r="E47" s="31" t="s">
        <v>38</v>
      </c>
      <c r="F47">
        <v>88702</v>
      </c>
      <c r="G47">
        <v>1</v>
      </c>
      <c r="H47">
        <v>3</v>
      </c>
      <c r="I47">
        <v>2</v>
      </c>
      <c r="J47" s="31" t="s">
        <v>19</v>
      </c>
      <c r="K47">
        <v>20</v>
      </c>
      <c r="L47" s="31" t="s">
        <v>19</v>
      </c>
      <c r="M47" s="31" t="s">
        <v>21</v>
      </c>
      <c r="N47">
        <v>36</v>
      </c>
      <c r="O47" s="31" t="s">
        <v>44</v>
      </c>
    </row>
    <row r="48" spans="1:15" x14ac:dyDescent="0.25">
      <c r="A48" s="31" t="s">
        <v>85</v>
      </c>
      <c r="B48">
        <v>22</v>
      </c>
      <c r="C48" s="31" t="s">
        <v>16</v>
      </c>
      <c r="D48" s="31" t="s">
        <v>51</v>
      </c>
      <c r="E48" s="31" t="s">
        <v>41</v>
      </c>
      <c r="F48">
        <v>80070</v>
      </c>
      <c r="G48">
        <v>1</v>
      </c>
      <c r="H48">
        <v>5</v>
      </c>
      <c r="I48">
        <v>2</v>
      </c>
      <c r="J48" s="31" t="s">
        <v>20</v>
      </c>
      <c r="K48">
        <v>8</v>
      </c>
      <c r="L48" s="31" t="s">
        <v>20</v>
      </c>
      <c r="M48" s="31" t="s">
        <v>21</v>
      </c>
      <c r="N48">
        <v>19</v>
      </c>
      <c r="O48" s="31" t="s">
        <v>44</v>
      </c>
    </row>
    <row r="49" spans="1:15" x14ac:dyDescent="0.25">
      <c r="A49" s="31" t="s">
        <v>86</v>
      </c>
      <c r="B49">
        <v>40</v>
      </c>
      <c r="C49" s="31" t="s">
        <v>16</v>
      </c>
      <c r="D49" s="31" t="s">
        <v>24</v>
      </c>
      <c r="E49" s="31" t="s">
        <v>35</v>
      </c>
      <c r="F49">
        <v>58888</v>
      </c>
      <c r="G49">
        <v>5</v>
      </c>
      <c r="H49">
        <v>4</v>
      </c>
      <c r="I49">
        <v>4</v>
      </c>
      <c r="J49" s="31" t="s">
        <v>19</v>
      </c>
      <c r="K49">
        <v>2</v>
      </c>
      <c r="L49" s="31" t="s">
        <v>19</v>
      </c>
      <c r="M49" s="31" t="s">
        <v>21</v>
      </c>
      <c r="N49">
        <v>43</v>
      </c>
      <c r="O49" s="31" t="s">
        <v>31</v>
      </c>
    </row>
    <row r="50" spans="1:15" x14ac:dyDescent="0.25">
      <c r="A50" s="31" t="s">
        <v>87</v>
      </c>
      <c r="B50">
        <v>28</v>
      </c>
      <c r="C50" s="31" t="s">
        <v>16</v>
      </c>
      <c r="D50" s="31" t="s">
        <v>29</v>
      </c>
      <c r="E50" s="31" t="s">
        <v>25</v>
      </c>
      <c r="F50">
        <v>74148</v>
      </c>
      <c r="G50">
        <v>3</v>
      </c>
      <c r="H50">
        <v>1</v>
      </c>
      <c r="I50">
        <v>5</v>
      </c>
      <c r="J50" s="31" t="s">
        <v>20</v>
      </c>
      <c r="K50">
        <v>0</v>
      </c>
      <c r="L50" s="31" t="s">
        <v>20</v>
      </c>
      <c r="M50" s="31" t="s">
        <v>30</v>
      </c>
      <c r="N50">
        <v>18</v>
      </c>
      <c r="O50" s="31" t="s">
        <v>42</v>
      </c>
    </row>
    <row r="51" spans="1:15" x14ac:dyDescent="0.25">
      <c r="A51" s="31" t="s">
        <v>88</v>
      </c>
      <c r="B51">
        <v>44</v>
      </c>
      <c r="C51" s="31" t="s">
        <v>28</v>
      </c>
      <c r="D51" s="31" t="s">
        <v>17</v>
      </c>
      <c r="E51" s="31" t="s">
        <v>41</v>
      </c>
      <c r="F51">
        <v>75080</v>
      </c>
      <c r="G51">
        <v>2</v>
      </c>
      <c r="H51">
        <v>5</v>
      </c>
      <c r="I51">
        <v>3</v>
      </c>
      <c r="J51" s="31" t="s">
        <v>20</v>
      </c>
      <c r="K51">
        <v>14</v>
      </c>
      <c r="L51" s="31" t="s">
        <v>20</v>
      </c>
      <c r="M51" s="31" t="s">
        <v>26</v>
      </c>
      <c r="N51">
        <v>80</v>
      </c>
      <c r="O51" s="31" t="s">
        <v>36</v>
      </c>
    </row>
    <row r="52" spans="1:15" x14ac:dyDescent="0.25">
      <c r="A52" s="31" t="s">
        <v>89</v>
      </c>
      <c r="B52">
        <v>41</v>
      </c>
      <c r="C52" s="31" t="s">
        <v>16</v>
      </c>
      <c r="D52" s="31" t="s">
        <v>40</v>
      </c>
      <c r="E52" s="31" t="s">
        <v>18</v>
      </c>
      <c r="F52">
        <v>77087</v>
      </c>
      <c r="G52">
        <v>2</v>
      </c>
      <c r="H52">
        <v>3</v>
      </c>
      <c r="I52">
        <v>5</v>
      </c>
      <c r="J52" s="31" t="s">
        <v>20</v>
      </c>
      <c r="K52">
        <v>10</v>
      </c>
      <c r="L52" s="31" t="s">
        <v>19</v>
      </c>
      <c r="M52" s="31" t="s">
        <v>30</v>
      </c>
      <c r="N52">
        <v>46</v>
      </c>
      <c r="O52" s="31" t="s">
        <v>44</v>
      </c>
    </row>
    <row r="53" spans="1:15" x14ac:dyDescent="0.25">
      <c r="A53" s="31" t="s">
        <v>90</v>
      </c>
      <c r="B53">
        <v>52</v>
      </c>
      <c r="C53" s="31" t="s">
        <v>16</v>
      </c>
      <c r="D53" s="31" t="s">
        <v>29</v>
      </c>
      <c r="E53" s="31" t="s">
        <v>18</v>
      </c>
      <c r="F53">
        <v>62608</v>
      </c>
      <c r="G53">
        <v>3</v>
      </c>
      <c r="H53">
        <v>5</v>
      </c>
      <c r="I53">
        <v>3</v>
      </c>
      <c r="J53" s="31" t="s">
        <v>19</v>
      </c>
      <c r="K53">
        <v>16</v>
      </c>
      <c r="L53" s="31" t="s">
        <v>19</v>
      </c>
      <c r="M53" s="31" t="s">
        <v>21</v>
      </c>
      <c r="N53">
        <v>35</v>
      </c>
      <c r="O53" s="31" t="s">
        <v>42</v>
      </c>
    </row>
    <row r="54" spans="1:15" x14ac:dyDescent="0.25">
      <c r="A54" s="31" t="s">
        <v>91</v>
      </c>
      <c r="B54">
        <v>52</v>
      </c>
      <c r="C54" s="31" t="s">
        <v>16</v>
      </c>
      <c r="D54" s="31" t="s">
        <v>17</v>
      </c>
      <c r="E54" s="31" t="s">
        <v>33</v>
      </c>
      <c r="F54">
        <v>102659</v>
      </c>
      <c r="G54">
        <v>4</v>
      </c>
      <c r="H54">
        <v>4</v>
      </c>
      <c r="I54">
        <v>1</v>
      </c>
      <c r="J54" s="31" t="s">
        <v>19</v>
      </c>
      <c r="K54">
        <v>9</v>
      </c>
      <c r="L54" s="31" t="s">
        <v>19</v>
      </c>
      <c r="M54" s="31" t="s">
        <v>30</v>
      </c>
      <c r="N54">
        <v>36</v>
      </c>
      <c r="O54" s="31" t="s">
        <v>36</v>
      </c>
    </row>
    <row r="55" spans="1:15" x14ac:dyDescent="0.25">
      <c r="A55" s="31" t="s">
        <v>92</v>
      </c>
      <c r="B55">
        <v>58</v>
      </c>
      <c r="C55" s="31" t="s">
        <v>28</v>
      </c>
      <c r="D55" s="31" t="s">
        <v>49</v>
      </c>
      <c r="E55" s="31" t="s">
        <v>25</v>
      </c>
      <c r="F55">
        <v>87588</v>
      </c>
      <c r="G55">
        <v>3</v>
      </c>
      <c r="H55">
        <v>4</v>
      </c>
      <c r="I55">
        <v>5</v>
      </c>
      <c r="J55" s="31" t="s">
        <v>20</v>
      </c>
      <c r="K55">
        <v>11</v>
      </c>
      <c r="L55" s="31" t="s">
        <v>20</v>
      </c>
      <c r="M55" s="31" t="s">
        <v>30</v>
      </c>
      <c r="N55">
        <v>44</v>
      </c>
      <c r="O55" s="31" t="s">
        <v>36</v>
      </c>
    </row>
    <row r="56" spans="1:15" x14ac:dyDescent="0.25">
      <c r="A56" s="31" t="s">
        <v>93</v>
      </c>
      <c r="B56">
        <v>35</v>
      </c>
      <c r="C56" s="31" t="s">
        <v>16</v>
      </c>
      <c r="D56" s="31" t="s">
        <v>17</v>
      </c>
      <c r="E56" s="31" t="s">
        <v>41</v>
      </c>
      <c r="F56">
        <v>59359</v>
      </c>
      <c r="G56">
        <v>1</v>
      </c>
      <c r="H56">
        <v>5</v>
      </c>
      <c r="I56">
        <v>2</v>
      </c>
      <c r="J56" s="31" t="s">
        <v>19</v>
      </c>
      <c r="K56">
        <v>6</v>
      </c>
      <c r="L56" s="31" t="s">
        <v>20</v>
      </c>
      <c r="M56" s="31" t="s">
        <v>30</v>
      </c>
      <c r="N56">
        <v>80</v>
      </c>
      <c r="O56" s="31" t="s">
        <v>31</v>
      </c>
    </row>
    <row r="57" spans="1:15" x14ac:dyDescent="0.25">
      <c r="A57" s="31" t="s">
        <v>94</v>
      </c>
      <c r="B57">
        <v>39</v>
      </c>
      <c r="C57" s="31" t="s">
        <v>16</v>
      </c>
      <c r="D57" s="31" t="s">
        <v>51</v>
      </c>
      <c r="E57" s="31" t="s">
        <v>18</v>
      </c>
      <c r="F57">
        <v>47816</v>
      </c>
      <c r="G57">
        <v>3</v>
      </c>
      <c r="H57">
        <v>2</v>
      </c>
      <c r="I57">
        <v>3</v>
      </c>
      <c r="J57" s="31" t="s">
        <v>19</v>
      </c>
      <c r="K57">
        <v>17</v>
      </c>
      <c r="L57" s="31" t="s">
        <v>19</v>
      </c>
      <c r="M57" s="31" t="s">
        <v>30</v>
      </c>
      <c r="N57">
        <v>10</v>
      </c>
      <c r="O57" s="31" t="s">
        <v>22</v>
      </c>
    </row>
    <row r="58" spans="1:15" x14ac:dyDescent="0.25">
      <c r="A58" s="31" t="s">
        <v>95</v>
      </c>
      <c r="B58">
        <v>56</v>
      </c>
      <c r="C58" s="31" t="s">
        <v>28</v>
      </c>
      <c r="D58" s="31" t="s">
        <v>17</v>
      </c>
      <c r="E58" s="31" t="s">
        <v>41</v>
      </c>
      <c r="F58">
        <v>101606</v>
      </c>
      <c r="G58">
        <v>3</v>
      </c>
      <c r="H58">
        <v>1</v>
      </c>
      <c r="I58">
        <v>1</v>
      </c>
      <c r="J58" s="31" t="s">
        <v>20</v>
      </c>
      <c r="K58">
        <v>15</v>
      </c>
      <c r="L58" s="31" t="s">
        <v>20</v>
      </c>
      <c r="M58" s="31" t="s">
        <v>30</v>
      </c>
      <c r="N58">
        <v>48</v>
      </c>
      <c r="O58" s="31" t="s">
        <v>44</v>
      </c>
    </row>
    <row r="59" spans="1:15" x14ac:dyDescent="0.25">
      <c r="A59" s="31" t="s">
        <v>96</v>
      </c>
      <c r="B59">
        <v>24</v>
      </c>
      <c r="C59" s="31" t="s">
        <v>28</v>
      </c>
      <c r="D59" s="31" t="s">
        <v>49</v>
      </c>
      <c r="E59" s="31" t="s">
        <v>35</v>
      </c>
      <c r="F59">
        <v>26564</v>
      </c>
      <c r="G59">
        <v>4</v>
      </c>
      <c r="H59">
        <v>4</v>
      </c>
      <c r="I59">
        <v>1</v>
      </c>
      <c r="J59" s="31" t="s">
        <v>19</v>
      </c>
      <c r="K59">
        <v>4</v>
      </c>
      <c r="L59" s="31" t="s">
        <v>19</v>
      </c>
      <c r="M59" s="31" t="s">
        <v>26</v>
      </c>
      <c r="N59">
        <v>43</v>
      </c>
      <c r="O59" s="31" t="s">
        <v>22</v>
      </c>
    </row>
    <row r="60" spans="1:15" x14ac:dyDescent="0.25">
      <c r="A60" s="31" t="s">
        <v>97</v>
      </c>
      <c r="B60">
        <v>36</v>
      </c>
      <c r="C60" s="31" t="s">
        <v>16</v>
      </c>
      <c r="D60" s="31" t="s">
        <v>24</v>
      </c>
      <c r="E60" s="31" t="s">
        <v>33</v>
      </c>
      <c r="F60">
        <v>97471</v>
      </c>
      <c r="G60">
        <v>5</v>
      </c>
      <c r="H60">
        <v>5</v>
      </c>
      <c r="I60">
        <v>2</v>
      </c>
      <c r="J60" s="31" t="s">
        <v>20</v>
      </c>
      <c r="K60">
        <v>14</v>
      </c>
      <c r="L60" s="31" t="s">
        <v>20</v>
      </c>
      <c r="M60" s="31" t="s">
        <v>30</v>
      </c>
      <c r="N60">
        <v>80</v>
      </c>
      <c r="O60" s="31" t="s">
        <v>42</v>
      </c>
    </row>
    <row r="61" spans="1:15" x14ac:dyDescent="0.25">
      <c r="A61" s="31" t="s">
        <v>98</v>
      </c>
      <c r="B61">
        <v>40</v>
      </c>
      <c r="C61" s="31" t="s">
        <v>16</v>
      </c>
      <c r="D61" s="31" t="s">
        <v>24</v>
      </c>
      <c r="E61" s="31" t="s">
        <v>38</v>
      </c>
      <c r="F61">
        <v>31006</v>
      </c>
      <c r="G61">
        <v>2</v>
      </c>
      <c r="H61">
        <v>2</v>
      </c>
      <c r="I61">
        <v>3</v>
      </c>
      <c r="J61" s="31" t="s">
        <v>19</v>
      </c>
      <c r="K61">
        <v>5</v>
      </c>
      <c r="L61" s="31" t="s">
        <v>19</v>
      </c>
      <c r="M61" s="31" t="s">
        <v>21</v>
      </c>
      <c r="N61">
        <v>75</v>
      </c>
      <c r="O61" s="31" t="s">
        <v>22</v>
      </c>
    </row>
    <row r="62" spans="1:15" x14ac:dyDescent="0.25">
      <c r="A62" s="31" t="s">
        <v>99</v>
      </c>
      <c r="B62">
        <v>31</v>
      </c>
      <c r="C62" s="31" t="s">
        <v>16</v>
      </c>
      <c r="D62" s="31" t="s">
        <v>49</v>
      </c>
      <c r="E62" s="31" t="s">
        <v>558</v>
      </c>
      <c r="F62">
        <v>108357</v>
      </c>
      <c r="G62">
        <v>5</v>
      </c>
      <c r="H62">
        <v>4</v>
      </c>
      <c r="I62">
        <v>3</v>
      </c>
      <c r="J62" s="31" t="s">
        <v>19</v>
      </c>
      <c r="K62">
        <v>7</v>
      </c>
      <c r="L62" s="31" t="s">
        <v>20</v>
      </c>
      <c r="M62" s="31" t="s">
        <v>26</v>
      </c>
      <c r="N62">
        <v>41</v>
      </c>
      <c r="O62" s="31" t="s">
        <v>42</v>
      </c>
    </row>
    <row r="63" spans="1:15" x14ac:dyDescent="0.25">
      <c r="A63" s="31" t="s">
        <v>100</v>
      </c>
      <c r="B63">
        <v>25</v>
      </c>
      <c r="C63" s="31" t="s">
        <v>16</v>
      </c>
      <c r="D63" s="31" t="s">
        <v>29</v>
      </c>
      <c r="E63" s="31" t="s">
        <v>38</v>
      </c>
      <c r="F63">
        <v>95304</v>
      </c>
      <c r="G63">
        <v>2</v>
      </c>
      <c r="H63">
        <v>4</v>
      </c>
      <c r="I63">
        <v>1</v>
      </c>
      <c r="J63" s="31" t="s">
        <v>19</v>
      </c>
      <c r="K63">
        <v>20</v>
      </c>
      <c r="L63" s="31" t="s">
        <v>19</v>
      </c>
      <c r="M63" s="31" t="s">
        <v>30</v>
      </c>
      <c r="N63">
        <v>23</v>
      </c>
      <c r="O63" s="31" t="s">
        <v>22</v>
      </c>
    </row>
    <row r="64" spans="1:15" x14ac:dyDescent="0.25">
      <c r="A64" s="31" t="s">
        <v>101</v>
      </c>
      <c r="B64">
        <v>24</v>
      </c>
      <c r="C64" s="31" t="s">
        <v>16</v>
      </c>
      <c r="D64" s="31" t="s">
        <v>29</v>
      </c>
      <c r="E64" s="31" t="s">
        <v>25</v>
      </c>
      <c r="F64">
        <v>116167</v>
      </c>
      <c r="G64">
        <v>5</v>
      </c>
      <c r="H64">
        <v>3</v>
      </c>
      <c r="I64">
        <v>4</v>
      </c>
      <c r="J64" s="31" t="s">
        <v>19</v>
      </c>
      <c r="K64">
        <v>14</v>
      </c>
      <c r="L64" s="31" t="s">
        <v>20</v>
      </c>
      <c r="M64" s="31" t="s">
        <v>26</v>
      </c>
      <c r="N64">
        <v>56</v>
      </c>
      <c r="O64" s="31" t="s">
        <v>36</v>
      </c>
    </row>
    <row r="65" spans="1:15" x14ac:dyDescent="0.25">
      <c r="A65" s="31" t="s">
        <v>102</v>
      </c>
      <c r="B65">
        <v>53</v>
      </c>
      <c r="C65" s="31" t="s">
        <v>28</v>
      </c>
      <c r="D65" s="31" t="s">
        <v>49</v>
      </c>
      <c r="E65" s="31" t="s">
        <v>35</v>
      </c>
      <c r="F65">
        <v>96385</v>
      </c>
      <c r="G65">
        <v>1</v>
      </c>
      <c r="H65">
        <v>4</v>
      </c>
      <c r="I65">
        <v>3</v>
      </c>
      <c r="J65" s="31" t="s">
        <v>20</v>
      </c>
      <c r="K65">
        <v>0</v>
      </c>
      <c r="L65" s="31" t="s">
        <v>19</v>
      </c>
      <c r="M65" s="31" t="s">
        <v>21</v>
      </c>
      <c r="N65">
        <v>78</v>
      </c>
      <c r="O65" s="31" t="s">
        <v>31</v>
      </c>
    </row>
    <row r="66" spans="1:15" x14ac:dyDescent="0.25">
      <c r="A66" s="31" t="s">
        <v>103</v>
      </c>
      <c r="B66">
        <v>22</v>
      </c>
      <c r="C66" s="31" t="s">
        <v>28</v>
      </c>
      <c r="D66" s="31" t="s">
        <v>24</v>
      </c>
      <c r="E66" s="31" t="s">
        <v>35</v>
      </c>
      <c r="F66">
        <v>118022</v>
      </c>
      <c r="G66">
        <v>2</v>
      </c>
      <c r="H66">
        <v>4</v>
      </c>
      <c r="I66">
        <v>5</v>
      </c>
      <c r="J66" s="31" t="s">
        <v>20</v>
      </c>
      <c r="K66">
        <v>8</v>
      </c>
      <c r="L66" s="31" t="s">
        <v>19</v>
      </c>
      <c r="M66" s="31" t="s">
        <v>26</v>
      </c>
      <c r="N66">
        <v>60</v>
      </c>
      <c r="O66" s="31" t="s">
        <v>42</v>
      </c>
    </row>
    <row r="67" spans="1:15" x14ac:dyDescent="0.25">
      <c r="A67" s="31" t="s">
        <v>104</v>
      </c>
      <c r="B67">
        <v>26</v>
      </c>
      <c r="C67" s="31" t="s">
        <v>28</v>
      </c>
      <c r="D67" s="31" t="s">
        <v>29</v>
      </c>
      <c r="E67" s="31" t="s">
        <v>33</v>
      </c>
      <c r="F67">
        <v>61687</v>
      </c>
      <c r="G67">
        <v>3</v>
      </c>
      <c r="H67">
        <v>1</v>
      </c>
      <c r="I67">
        <v>2</v>
      </c>
      <c r="J67" s="31" t="s">
        <v>20</v>
      </c>
      <c r="K67">
        <v>13</v>
      </c>
      <c r="L67" s="31" t="s">
        <v>20</v>
      </c>
      <c r="M67" s="31" t="s">
        <v>30</v>
      </c>
      <c r="N67">
        <v>56</v>
      </c>
      <c r="O67" s="31" t="s">
        <v>31</v>
      </c>
    </row>
    <row r="68" spans="1:15" x14ac:dyDescent="0.25">
      <c r="A68" s="31" t="s">
        <v>105</v>
      </c>
      <c r="B68">
        <v>23</v>
      </c>
      <c r="C68" s="31" t="s">
        <v>28</v>
      </c>
      <c r="D68" s="31" t="s">
        <v>40</v>
      </c>
      <c r="E68" s="31" t="s">
        <v>18</v>
      </c>
      <c r="F68">
        <v>51082</v>
      </c>
      <c r="G68">
        <v>3</v>
      </c>
      <c r="H68">
        <v>1</v>
      </c>
      <c r="I68">
        <v>4</v>
      </c>
      <c r="J68" s="31" t="s">
        <v>19</v>
      </c>
      <c r="K68">
        <v>17</v>
      </c>
      <c r="L68" s="31" t="s">
        <v>20</v>
      </c>
      <c r="M68" s="31" t="s">
        <v>30</v>
      </c>
      <c r="N68">
        <v>11</v>
      </c>
      <c r="O68" s="31" t="s">
        <v>44</v>
      </c>
    </row>
    <row r="69" spans="1:15" x14ac:dyDescent="0.25">
      <c r="A69" s="31" t="s">
        <v>106</v>
      </c>
      <c r="B69">
        <v>54</v>
      </c>
      <c r="C69" s="31" t="s">
        <v>28</v>
      </c>
      <c r="D69" s="31" t="s">
        <v>24</v>
      </c>
      <c r="E69" s="31" t="s">
        <v>33</v>
      </c>
      <c r="F69">
        <v>99973</v>
      </c>
      <c r="G69">
        <v>4</v>
      </c>
      <c r="H69">
        <v>1</v>
      </c>
      <c r="I69">
        <v>2</v>
      </c>
      <c r="J69" s="31" t="s">
        <v>20</v>
      </c>
      <c r="K69">
        <v>17</v>
      </c>
      <c r="L69" s="31" t="s">
        <v>19</v>
      </c>
      <c r="M69" s="31" t="s">
        <v>30</v>
      </c>
      <c r="N69">
        <v>61</v>
      </c>
      <c r="O69" s="31" t="s">
        <v>42</v>
      </c>
    </row>
    <row r="70" spans="1:15" x14ac:dyDescent="0.25">
      <c r="A70" s="31" t="s">
        <v>107</v>
      </c>
      <c r="B70">
        <v>28</v>
      </c>
      <c r="C70" s="31" t="s">
        <v>16</v>
      </c>
      <c r="D70" s="31" t="s">
        <v>17</v>
      </c>
      <c r="E70" s="31" t="s">
        <v>25</v>
      </c>
      <c r="F70">
        <v>49365</v>
      </c>
      <c r="G70">
        <v>2</v>
      </c>
      <c r="H70">
        <v>3</v>
      </c>
      <c r="I70">
        <v>5</v>
      </c>
      <c r="J70" s="31" t="s">
        <v>19</v>
      </c>
      <c r="K70">
        <v>17</v>
      </c>
      <c r="L70" s="31" t="s">
        <v>20</v>
      </c>
      <c r="M70" s="31" t="s">
        <v>21</v>
      </c>
      <c r="N70">
        <v>33</v>
      </c>
      <c r="O70" s="31" t="s">
        <v>22</v>
      </c>
    </row>
    <row r="71" spans="1:15" x14ac:dyDescent="0.25">
      <c r="A71" s="31" t="s">
        <v>108</v>
      </c>
      <c r="B71">
        <v>50</v>
      </c>
      <c r="C71" s="31" t="s">
        <v>16</v>
      </c>
      <c r="D71" s="31" t="s">
        <v>17</v>
      </c>
      <c r="E71" s="31" t="s">
        <v>41</v>
      </c>
      <c r="F71">
        <v>68925</v>
      </c>
      <c r="G71">
        <v>3</v>
      </c>
      <c r="H71">
        <v>5</v>
      </c>
      <c r="I71">
        <v>3</v>
      </c>
      <c r="J71" s="31" t="s">
        <v>20</v>
      </c>
      <c r="K71">
        <v>15</v>
      </c>
      <c r="L71" s="31" t="s">
        <v>20</v>
      </c>
      <c r="M71" s="31" t="s">
        <v>21</v>
      </c>
      <c r="N71">
        <v>63</v>
      </c>
      <c r="O71" s="31" t="s">
        <v>31</v>
      </c>
    </row>
    <row r="72" spans="1:15" x14ac:dyDescent="0.25">
      <c r="A72" s="31" t="s">
        <v>109</v>
      </c>
      <c r="B72">
        <v>30</v>
      </c>
      <c r="C72" s="31" t="s">
        <v>28</v>
      </c>
      <c r="D72" s="31" t="s">
        <v>51</v>
      </c>
      <c r="E72" s="31" t="s">
        <v>25</v>
      </c>
      <c r="F72">
        <v>84616</v>
      </c>
      <c r="G72">
        <v>2</v>
      </c>
      <c r="H72">
        <v>1</v>
      </c>
      <c r="I72">
        <v>3</v>
      </c>
      <c r="J72" s="31" t="s">
        <v>20</v>
      </c>
      <c r="K72">
        <v>10</v>
      </c>
      <c r="L72" s="31" t="s">
        <v>20</v>
      </c>
      <c r="M72" s="31" t="s">
        <v>21</v>
      </c>
      <c r="N72">
        <v>41</v>
      </c>
      <c r="O72" s="31" t="s">
        <v>36</v>
      </c>
    </row>
    <row r="73" spans="1:15" x14ac:dyDescent="0.25">
      <c r="A73" s="31" t="s">
        <v>110</v>
      </c>
      <c r="B73">
        <v>58</v>
      </c>
      <c r="C73" s="31" t="s">
        <v>28</v>
      </c>
      <c r="D73" s="31" t="s">
        <v>51</v>
      </c>
      <c r="E73" s="31" t="s">
        <v>33</v>
      </c>
      <c r="F73">
        <v>88592</v>
      </c>
      <c r="G73">
        <v>4</v>
      </c>
      <c r="H73">
        <v>3</v>
      </c>
      <c r="I73">
        <v>3</v>
      </c>
      <c r="J73" s="31" t="s">
        <v>20</v>
      </c>
      <c r="K73">
        <v>14</v>
      </c>
      <c r="L73" s="31" t="s">
        <v>20</v>
      </c>
      <c r="M73" s="31" t="s">
        <v>21</v>
      </c>
      <c r="N73">
        <v>35</v>
      </c>
      <c r="O73" s="31" t="s">
        <v>31</v>
      </c>
    </row>
    <row r="74" spans="1:15" x14ac:dyDescent="0.25">
      <c r="A74" s="31" t="s">
        <v>111</v>
      </c>
      <c r="B74">
        <v>45</v>
      </c>
      <c r="C74" s="31" t="s">
        <v>16</v>
      </c>
      <c r="D74" s="31" t="s">
        <v>49</v>
      </c>
      <c r="E74" s="31" t="s">
        <v>35</v>
      </c>
      <c r="F74">
        <v>59704</v>
      </c>
      <c r="G74">
        <v>4</v>
      </c>
      <c r="H74">
        <v>4</v>
      </c>
      <c r="I74">
        <v>4</v>
      </c>
      <c r="J74" s="31" t="s">
        <v>19</v>
      </c>
      <c r="K74">
        <v>15</v>
      </c>
      <c r="L74" s="31" t="s">
        <v>19</v>
      </c>
      <c r="M74" s="31" t="s">
        <v>21</v>
      </c>
      <c r="N74">
        <v>69</v>
      </c>
      <c r="O74" s="31" t="s">
        <v>31</v>
      </c>
    </row>
    <row r="75" spans="1:15" x14ac:dyDescent="0.25">
      <c r="A75" s="31" t="s">
        <v>112</v>
      </c>
      <c r="B75">
        <v>42</v>
      </c>
      <c r="C75" s="31" t="s">
        <v>16</v>
      </c>
      <c r="D75" s="31" t="s">
        <v>49</v>
      </c>
      <c r="E75" s="31" t="s">
        <v>35</v>
      </c>
      <c r="F75">
        <v>86937</v>
      </c>
      <c r="G75">
        <v>4</v>
      </c>
      <c r="H75">
        <v>1</v>
      </c>
      <c r="I75">
        <v>2</v>
      </c>
      <c r="J75" s="31" t="s">
        <v>20</v>
      </c>
      <c r="K75">
        <v>20</v>
      </c>
      <c r="L75" s="31" t="s">
        <v>19</v>
      </c>
      <c r="M75" s="31" t="s">
        <v>21</v>
      </c>
      <c r="N75">
        <v>65</v>
      </c>
      <c r="O75" s="31" t="s">
        <v>36</v>
      </c>
    </row>
    <row r="76" spans="1:15" x14ac:dyDescent="0.25">
      <c r="A76" s="31" t="s">
        <v>113</v>
      </c>
      <c r="B76">
        <v>42</v>
      </c>
      <c r="C76" s="31" t="s">
        <v>28</v>
      </c>
      <c r="D76" s="31" t="s">
        <v>17</v>
      </c>
      <c r="E76" s="31" t="s">
        <v>35</v>
      </c>
      <c r="F76">
        <v>68925</v>
      </c>
      <c r="G76">
        <v>5</v>
      </c>
      <c r="H76">
        <v>4</v>
      </c>
      <c r="I76">
        <v>3</v>
      </c>
      <c r="J76" s="31" t="s">
        <v>20</v>
      </c>
      <c r="K76">
        <v>17</v>
      </c>
      <c r="L76" s="31" t="s">
        <v>19</v>
      </c>
      <c r="M76" s="31" t="s">
        <v>26</v>
      </c>
      <c r="N76">
        <v>13</v>
      </c>
      <c r="O76" s="31" t="s">
        <v>44</v>
      </c>
    </row>
    <row r="77" spans="1:15" x14ac:dyDescent="0.25">
      <c r="A77" s="31" t="s">
        <v>114</v>
      </c>
      <c r="B77">
        <v>39</v>
      </c>
      <c r="C77" s="31" t="s">
        <v>16</v>
      </c>
      <c r="D77" s="31" t="s">
        <v>17</v>
      </c>
      <c r="E77" s="31" t="s">
        <v>35</v>
      </c>
      <c r="F77">
        <v>74881</v>
      </c>
      <c r="G77">
        <v>1</v>
      </c>
      <c r="H77">
        <v>1</v>
      </c>
      <c r="I77">
        <v>4</v>
      </c>
      <c r="J77" s="31" t="s">
        <v>19</v>
      </c>
      <c r="K77">
        <v>9</v>
      </c>
      <c r="L77" s="31" t="s">
        <v>19</v>
      </c>
      <c r="M77" s="31" t="s">
        <v>21</v>
      </c>
      <c r="N77">
        <v>46</v>
      </c>
      <c r="O77" s="31" t="s">
        <v>22</v>
      </c>
    </row>
    <row r="78" spans="1:15" x14ac:dyDescent="0.25">
      <c r="A78" s="31" t="s">
        <v>115</v>
      </c>
      <c r="B78">
        <v>39</v>
      </c>
      <c r="C78" s="31" t="s">
        <v>28</v>
      </c>
      <c r="D78" s="31" t="s">
        <v>29</v>
      </c>
      <c r="E78" s="31" t="s">
        <v>33</v>
      </c>
      <c r="F78">
        <v>37080</v>
      </c>
      <c r="G78">
        <v>2</v>
      </c>
      <c r="H78">
        <v>5</v>
      </c>
      <c r="I78">
        <v>3</v>
      </c>
      <c r="J78" s="31" t="s">
        <v>19</v>
      </c>
      <c r="K78">
        <v>5</v>
      </c>
      <c r="L78" s="31" t="s">
        <v>19</v>
      </c>
      <c r="M78" s="31" t="s">
        <v>21</v>
      </c>
      <c r="N78">
        <v>53</v>
      </c>
      <c r="O78" s="31" t="s">
        <v>31</v>
      </c>
    </row>
    <row r="79" spans="1:15" x14ac:dyDescent="0.25">
      <c r="A79" s="31" t="s">
        <v>116</v>
      </c>
      <c r="B79">
        <v>36</v>
      </c>
      <c r="C79" s="31" t="s">
        <v>28</v>
      </c>
      <c r="D79" s="31" t="s">
        <v>24</v>
      </c>
      <c r="E79" s="31" t="s">
        <v>41</v>
      </c>
      <c r="F79">
        <v>48433</v>
      </c>
      <c r="G79">
        <v>4</v>
      </c>
      <c r="H79">
        <v>3</v>
      </c>
      <c r="I79">
        <v>4</v>
      </c>
      <c r="J79" s="31" t="s">
        <v>20</v>
      </c>
      <c r="K79">
        <v>0</v>
      </c>
      <c r="L79" s="31" t="s">
        <v>20</v>
      </c>
      <c r="M79" s="31" t="s">
        <v>30</v>
      </c>
      <c r="N79">
        <v>74</v>
      </c>
      <c r="O79" s="31" t="s">
        <v>44</v>
      </c>
    </row>
    <row r="80" spans="1:15" x14ac:dyDescent="0.25">
      <c r="A80" s="31" t="s">
        <v>117</v>
      </c>
      <c r="B80">
        <v>25</v>
      </c>
      <c r="C80" s="31" t="s">
        <v>28</v>
      </c>
      <c r="D80" s="31" t="s">
        <v>29</v>
      </c>
      <c r="E80" s="31" t="s">
        <v>25</v>
      </c>
      <c r="F80">
        <v>57210</v>
      </c>
      <c r="G80">
        <v>4</v>
      </c>
      <c r="H80">
        <v>3</v>
      </c>
      <c r="I80">
        <v>4</v>
      </c>
      <c r="J80" s="31" t="s">
        <v>20</v>
      </c>
      <c r="K80">
        <v>6</v>
      </c>
      <c r="L80" s="31" t="s">
        <v>20</v>
      </c>
      <c r="M80" s="31" t="s">
        <v>30</v>
      </c>
      <c r="N80">
        <v>18</v>
      </c>
      <c r="O80" s="31" t="s">
        <v>44</v>
      </c>
    </row>
    <row r="81" spans="1:15" x14ac:dyDescent="0.25">
      <c r="A81" s="31" t="s">
        <v>118</v>
      </c>
      <c r="B81">
        <v>45</v>
      </c>
      <c r="C81" s="31" t="s">
        <v>28</v>
      </c>
      <c r="D81" s="31" t="s">
        <v>24</v>
      </c>
      <c r="E81" s="31" t="s">
        <v>18</v>
      </c>
      <c r="F81">
        <v>109655</v>
      </c>
      <c r="G81">
        <v>3</v>
      </c>
      <c r="H81">
        <v>1</v>
      </c>
      <c r="I81">
        <v>4</v>
      </c>
      <c r="J81" s="31" t="s">
        <v>20</v>
      </c>
      <c r="K81">
        <v>0</v>
      </c>
      <c r="L81" s="31" t="s">
        <v>19</v>
      </c>
      <c r="M81" s="31" t="s">
        <v>26</v>
      </c>
      <c r="N81">
        <v>68</v>
      </c>
      <c r="O81" s="31" t="s">
        <v>36</v>
      </c>
    </row>
    <row r="82" spans="1:15" x14ac:dyDescent="0.25">
      <c r="A82" s="31" t="s">
        <v>119</v>
      </c>
      <c r="B82">
        <v>35</v>
      </c>
      <c r="C82" s="31" t="s">
        <v>28</v>
      </c>
      <c r="D82" s="31" t="s">
        <v>51</v>
      </c>
      <c r="E82" s="31" t="s">
        <v>38</v>
      </c>
      <c r="F82">
        <v>42920</v>
      </c>
      <c r="G82">
        <v>3</v>
      </c>
      <c r="H82">
        <v>3</v>
      </c>
      <c r="I82">
        <v>2</v>
      </c>
      <c r="J82" s="31" t="s">
        <v>19</v>
      </c>
      <c r="K82">
        <v>20</v>
      </c>
      <c r="L82" s="31" t="s">
        <v>19</v>
      </c>
      <c r="M82" s="31" t="s">
        <v>30</v>
      </c>
      <c r="N82">
        <v>61</v>
      </c>
      <c r="O82" s="31" t="s">
        <v>22</v>
      </c>
    </row>
    <row r="83" spans="1:15" x14ac:dyDescent="0.25">
      <c r="A83" s="31" t="s">
        <v>120</v>
      </c>
      <c r="B83">
        <v>58</v>
      </c>
      <c r="C83" s="31" t="s">
        <v>28</v>
      </c>
      <c r="D83" s="31" t="s">
        <v>17</v>
      </c>
      <c r="E83" s="31" t="s">
        <v>41</v>
      </c>
      <c r="F83">
        <v>29813</v>
      </c>
      <c r="G83">
        <v>3</v>
      </c>
      <c r="H83">
        <v>3</v>
      </c>
      <c r="I83">
        <v>4</v>
      </c>
      <c r="J83" s="31" t="s">
        <v>19</v>
      </c>
      <c r="K83">
        <v>6</v>
      </c>
      <c r="L83" s="31" t="s">
        <v>19</v>
      </c>
      <c r="M83" s="31" t="s">
        <v>26</v>
      </c>
      <c r="N83">
        <v>51</v>
      </c>
      <c r="O83" s="31" t="s">
        <v>31</v>
      </c>
    </row>
    <row r="84" spans="1:15" x14ac:dyDescent="0.25">
      <c r="A84" s="31" t="s">
        <v>121</v>
      </c>
      <c r="B84">
        <v>53</v>
      </c>
      <c r="C84" s="31" t="s">
        <v>28</v>
      </c>
      <c r="D84" s="31" t="s">
        <v>51</v>
      </c>
      <c r="E84" s="31" t="s">
        <v>18</v>
      </c>
      <c r="F84">
        <v>81156</v>
      </c>
      <c r="G84">
        <v>3</v>
      </c>
      <c r="H84">
        <v>3</v>
      </c>
      <c r="I84">
        <v>1</v>
      </c>
      <c r="J84" s="31" t="s">
        <v>20</v>
      </c>
      <c r="K84">
        <v>2</v>
      </c>
      <c r="L84" s="31" t="s">
        <v>19</v>
      </c>
      <c r="M84" s="31" t="s">
        <v>21</v>
      </c>
      <c r="N84">
        <v>55</v>
      </c>
      <c r="O84" s="31" t="s">
        <v>31</v>
      </c>
    </row>
    <row r="85" spans="1:15" x14ac:dyDescent="0.25">
      <c r="A85" s="31" t="s">
        <v>122</v>
      </c>
      <c r="B85">
        <v>44</v>
      </c>
      <c r="C85" s="31" t="s">
        <v>16</v>
      </c>
      <c r="D85" s="31" t="s">
        <v>49</v>
      </c>
      <c r="E85" s="31" t="s">
        <v>35</v>
      </c>
      <c r="F85">
        <v>52663</v>
      </c>
      <c r="G85">
        <v>5</v>
      </c>
      <c r="H85">
        <v>1</v>
      </c>
      <c r="I85">
        <v>4</v>
      </c>
      <c r="J85" s="31" t="s">
        <v>20</v>
      </c>
      <c r="K85">
        <v>8</v>
      </c>
      <c r="L85" s="31" t="s">
        <v>20</v>
      </c>
      <c r="M85" s="31" t="s">
        <v>26</v>
      </c>
      <c r="N85">
        <v>52</v>
      </c>
      <c r="O85" s="31" t="s">
        <v>22</v>
      </c>
    </row>
    <row r="86" spans="1:15" x14ac:dyDescent="0.25">
      <c r="A86" s="31" t="s">
        <v>123</v>
      </c>
      <c r="B86">
        <v>35</v>
      </c>
      <c r="C86" s="31" t="s">
        <v>28</v>
      </c>
      <c r="D86" s="31" t="s">
        <v>40</v>
      </c>
      <c r="E86" s="31" t="s">
        <v>25</v>
      </c>
      <c r="F86">
        <v>91584</v>
      </c>
      <c r="G86">
        <v>3</v>
      </c>
      <c r="H86">
        <v>5</v>
      </c>
      <c r="I86">
        <v>2</v>
      </c>
      <c r="J86" s="31" t="s">
        <v>19</v>
      </c>
      <c r="K86">
        <v>20</v>
      </c>
      <c r="L86" s="31" t="s">
        <v>20</v>
      </c>
      <c r="M86" s="31" t="s">
        <v>26</v>
      </c>
      <c r="N86">
        <v>43</v>
      </c>
      <c r="O86" s="31" t="s">
        <v>42</v>
      </c>
    </row>
    <row r="87" spans="1:15" x14ac:dyDescent="0.25">
      <c r="A87" s="31" t="s">
        <v>124</v>
      </c>
      <c r="B87">
        <v>28</v>
      </c>
      <c r="C87" s="31" t="s">
        <v>16</v>
      </c>
      <c r="D87" s="31" t="s">
        <v>40</v>
      </c>
      <c r="E87" s="31" t="s">
        <v>35</v>
      </c>
      <c r="F87">
        <v>57893</v>
      </c>
      <c r="G87">
        <v>4</v>
      </c>
      <c r="H87">
        <v>1</v>
      </c>
      <c r="I87">
        <v>1</v>
      </c>
      <c r="J87" s="31" t="s">
        <v>19</v>
      </c>
      <c r="K87">
        <v>17</v>
      </c>
      <c r="L87" s="31" t="s">
        <v>19</v>
      </c>
      <c r="M87" s="31" t="s">
        <v>30</v>
      </c>
      <c r="N87">
        <v>63</v>
      </c>
      <c r="O87" s="31" t="s">
        <v>36</v>
      </c>
    </row>
    <row r="88" spans="1:15" x14ac:dyDescent="0.25">
      <c r="A88" s="31" t="s">
        <v>125</v>
      </c>
      <c r="B88">
        <v>55</v>
      </c>
      <c r="C88" s="31" t="s">
        <v>28</v>
      </c>
      <c r="D88" s="31" t="s">
        <v>24</v>
      </c>
      <c r="E88" s="31" t="s">
        <v>38</v>
      </c>
      <c r="F88">
        <v>113236</v>
      </c>
      <c r="G88">
        <v>2</v>
      </c>
      <c r="H88">
        <v>4</v>
      </c>
      <c r="I88">
        <v>1</v>
      </c>
      <c r="J88" s="31" t="s">
        <v>20</v>
      </c>
      <c r="K88">
        <v>19</v>
      </c>
      <c r="L88" s="31" t="s">
        <v>20</v>
      </c>
      <c r="M88" s="31" t="s">
        <v>30</v>
      </c>
      <c r="N88">
        <v>9</v>
      </c>
      <c r="O88" s="31" t="s">
        <v>36</v>
      </c>
    </row>
    <row r="89" spans="1:15" x14ac:dyDescent="0.25">
      <c r="A89" s="31" t="s">
        <v>126</v>
      </c>
      <c r="B89">
        <v>39</v>
      </c>
      <c r="C89" s="31" t="s">
        <v>28</v>
      </c>
      <c r="D89" s="31" t="s">
        <v>49</v>
      </c>
      <c r="E89" s="31" t="s">
        <v>41</v>
      </c>
      <c r="F89">
        <v>65537</v>
      </c>
      <c r="G89">
        <v>3</v>
      </c>
      <c r="H89">
        <v>3</v>
      </c>
      <c r="I89">
        <v>5</v>
      </c>
      <c r="J89" s="31" t="s">
        <v>20</v>
      </c>
      <c r="K89">
        <v>1</v>
      </c>
      <c r="L89" s="31" t="s">
        <v>20</v>
      </c>
      <c r="M89" s="31" t="s">
        <v>30</v>
      </c>
      <c r="N89">
        <v>29</v>
      </c>
      <c r="O89" s="31" t="s">
        <v>22</v>
      </c>
    </row>
    <row r="90" spans="1:15" x14ac:dyDescent="0.25">
      <c r="A90" s="31" t="s">
        <v>127</v>
      </c>
      <c r="B90">
        <v>50</v>
      </c>
      <c r="C90" s="31" t="s">
        <v>16</v>
      </c>
      <c r="D90" s="31" t="s">
        <v>17</v>
      </c>
      <c r="E90" s="31" t="s">
        <v>41</v>
      </c>
      <c r="F90">
        <v>102109</v>
      </c>
      <c r="G90">
        <v>5</v>
      </c>
      <c r="H90">
        <v>1</v>
      </c>
      <c r="I90">
        <v>1</v>
      </c>
      <c r="J90" s="31" t="s">
        <v>20</v>
      </c>
      <c r="K90">
        <v>7</v>
      </c>
      <c r="L90" s="31" t="s">
        <v>19</v>
      </c>
      <c r="M90" s="31" t="s">
        <v>26</v>
      </c>
      <c r="N90">
        <v>31</v>
      </c>
      <c r="O90" s="31" t="s">
        <v>22</v>
      </c>
    </row>
    <row r="91" spans="1:15" x14ac:dyDescent="0.25">
      <c r="A91" s="31" t="s">
        <v>128</v>
      </c>
      <c r="B91">
        <v>56</v>
      </c>
      <c r="C91" s="31" t="s">
        <v>16</v>
      </c>
      <c r="D91" s="31" t="s">
        <v>24</v>
      </c>
      <c r="E91" s="31" t="s">
        <v>41</v>
      </c>
      <c r="F91">
        <v>48539</v>
      </c>
      <c r="G91">
        <v>3</v>
      </c>
      <c r="H91">
        <v>2</v>
      </c>
      <c r="I91">
        <v>5</v>
      </c>
      <c r="J91" s="31" t="s">
        <v>19</v>
      </c>
      <c r="K91">
        <v>8</v>
      </c>
      <c r="L91" s="31" t="s">
        <v>19</v>
      </c>
      <c r="M91" s="31" t="s">
        <v>21</v>
      </c>
      <c r="N91">
        <v>74</v>
      </c>
      <c r="O91" s="31" t="s">
        <v>36</v>
      </c>
    </row>
    <row r="92" spans="1:15" x14ac:dyDescent="0.25">
      <c r="A92" s="31" t="s">
        <v>129</v>
      </c>
      <c r="B92">
        <v>32</v>
      </c>
      <c r="C92" s="31" t="s">
        <v>16</v>
      </c>
      <c r="D92" s="31" t="s">
        <v>17</v>
      </c>
      <c r="E92" s="31" t="s">
        <v>35</v>
      </c>
      <c r="F92">
        <v>35275</v>
      </c>
      <c r="G92">
        <v>1</v>
      </c>
      <c r="H92">
        <v>3</v>
      </c>
      <c r="I92">
        <v>2</v>
      </c>
      <c r="J92" s="31" t="s">
        <v>20</v>
      </c>
      <c r="K92">
        <v>0</v>
      </c>
      <c r="L92" s="31" t="s">
        <v>19</v>
      </c>
      <c r="M92" s="31" t="s">
        <v>30</v>
      </c>
      <c r="N92">
        <v>11</v>
      </c>
      <c r="O92" s="31" t="s">
        <v>44</v>
      </c>
    </row>
    <row r="93" spans="1:15" x14ac:dyDescent="0.25">
      <c r="A93" s="31" t="s">
        <v>130</v>
      </c>
      <c r="B93">
        <v>47</v>
      </c>
      <c r="C93" s="31" t="s">
        <v>16</v>
      </c>
      <c r="D93" s="31" t="s">
        <v>17</v>
      </c>
      <c r="E93" s="31" t="s">
        <v>35</v>
      </c>
      <c r="F93">
        <v>68925</v>
      </c>
      <c r="G93">
        <v>4</v>
      </c>
      <c r="H93">
        <v>3</v>
      </c>
      <c r="I93">
        <v>5</v>
      </c>
      <c r="J93" s="31" t="s">
        <v>19</v>
      </c>
      <c r="K93">
        <v>14</v>
      </c>
      <c r="L93" s="31" t="s">
        <v>19</v>
      </c>
      <c r="M93" s="31" t="s">
        <v>26</v>
      </c>
      <c r="N93">
        <v>10</v>
      </c>
      <c r="O93" s="31" t="s">
        <v>31</v>
      </c>
    </row>
    <row r="94" spans="1:15" x14ac:dyDescent="0.25">
      <c r="A94" s="31" t="s">
        <v>131</v>
      </c>
      <c r="B94">
        <v>40</v>
      </c>
      <c r="C94" s="31" t="s">
        <v>28</v>
      </c>
      <c r="D94" s="31" t="s">
        <v>17</v>
      </c>
      <c r="E94" s="31" t="s">
        <v>35</v>
      </c>
      <c r="F94">
        <v>25972</v>
      </c>
      <c r="G94">
        <v>4</v>
      </c>
      <c r="H94">
        <v>4</v>
      </c>
      <c r="I94">
        <v>4</v>
      </c>
      <c r="J94" s="31" t="s">
        <v>19</v>
      </c>
      <c r="K94">
        <v>15</v>
      </c>
      <c r="L94" s="31" t="s">
        <v>20</v>
      </c>
      <c r="M94" s="31" t="s">
        <v>21</v>
      </c>
      <c r="N94">
        <v>15</v>
      </c>
      <c r="O94" s="31" t="s">
        <v>36</v>
      </c>
    </row>
    <row r="95" spans="1:15" x14ac:dyDescent="0.25">
      <c r="A95" s="31" t="s">
        <v>132</v>
      </c>
      <c r="B95">
        <v>30</v>
      </c>
      <c r="C95" s="31" t="s">
        <v>16</v>
      </c>
      <c r="D95" s="31" t="s">
        <v>51</v>
      </c>
      <c r="E95" s="31" t="s">
        <v>18</v>
      </c>
      <c r="F95">
        <v>99830</v>
      </c>
      <c r="G95">
        <v>5</v>
      </c>
      <c r="H95">
        <v>5</v>
      </c>
      <c r="I95">
        <v>3</v>
      </c>
      <c r="J95" s="31" t="s">
        <v>20</v>
      </c>
      <c r="K95">
        <v>19</v>
      </c>
      <c r="L95" s="31" t="s">
        <v>20</v>
      </c>
      <c r="M95" s="31" t="s">
        <v>30</v>
      </c>
      <c r="N95">
        <v>69</v>
      </c>
      <c r="O95" s="31" t="s">
        <v>31</v>
      </c>
    </row>
    <row r="96" spans="1:15" x14ac:dyDescent="0.25">
      <c r="A96" s="31" t="s">
        <v>133</v>
      </c>
      <c r="B96">
        <v>48</v>
      </c>
      <c r="C96" s="31" t="s">
        <v>16</v>
      </c>
      <c r="D96" s="31" t="s">
        <v>17</v>
      </c>
      <c r="E96" s="31" t="s">
        <v>35</v>
      </c>
      <c r="F96">
        <v>103814</v>
      </c>
      <c r="G96">
        <v>5</v>
      </c>
      <c r="H96">
        <v>2</v>
      </c>
      <c r="I96">
        <v>4</v>
      </c>
      <c r="J96" s="31" t="s">
        <v>20</v>
      </c>
      <c r="K96">
        <v>7</v>
      </c>
      <c r="L96" s="31" t="s">
        <v>20</v>
      </c>
      <c r="M96" s="31" t="s">
        <v>30</v>
      </c>
      <c r="N96">
        <v>63</v>
      </c>
      <c r="O96" s="31" t="s">
        <v>42</v>
      </c>
    </row>
    <row r="97" spans="1:15" x14ac:dyDescent="0.25">
      <c r="A97" s="31" t="s">
        <v>134</v>
      </c>
      <c r="B97">
        <v>47</v>
      </c>
      <c r="C97" s="31" t="s">
        <v>16</v>
      </c>
      <c r="D97" s="31" t="s">
        <v>29</v>
      </c>
      <c r="E97" s="31" t="s">
        <v>33</v>
      </c>
      <c r="F97">
        <v>58963</v>
      </c>
      <c r="G97">
        <v>3</v>
      </c>
      <c r="H97">
        <v>3</v>
      </c>
      <c r="I97">
        <v>2</v>
      </c>
      <c r="J97" s="31" t="s">
        <v>20</v>
      </c>
      <c r="K97">
        <v>2</v>
      </c>
      <c r="L97" s="31" t="s">
        <v>19</v>
      </c>
      <c r="M97" s="31" t="s">
        <v>21</v>
      </c>
      <c r="N97">
        <v>16</v>
      </c>
      <c r="O97" s="31" t="s">
        <v>42</v>
      </c>
    </row>
    <row r="98" spans="1:15" x14ac:dyDescent="0.25">
      <c r="A98" s="31" t="s">
        <v>135</v>
      </c>
      <c r="B98">
        <v>27</v>
      </c>
      <c r="C98" s="31" t="s">
        <v>28</v>
      </c>
      <c r="D98" s="31" t="s">
        <v>51</v>
      </c>
      <c r="E98" s="31" t="s">
        <v>25</v>
      </c>
      <c r="F98">
        <v>25861</v>
      </c>
      <c r="G98">
        <v>5</v>
      </c>
      <c r="H98">
        <v>5</v>
      </c>
      <c r="I98">
        <v>5</v>
      </c>
      <c r="J98" s="31" t="s">
        <v>20</v>
      </c>
      <c r="K98">
        <v>3</v>
      </c>
      <c r="L98" s="31" t="s">
        <v>20</v>
      </c>
      <c r="M98" s="31" t="s">
        <v>30</v>
      </c>
      <c r="N98">
        <v>59</v>
      </c>
      <c r="O98" s="31" t="s">
        <v>22</v>
      </c>
    </row>
    <row r="99" spans="1:15" x14ac:dyDescent="0.25">
      <c r="A99" s="31" t="s">
        <v>136</v>
      </c>
      <c r="B99">
        <v>39</v>
      </c>
      <c r="C99" s="31" t="s">
        <v>28</v>
      </c>
      <c r="D99" s="31" t="s">
        <v>29</v>
      </c>
      <c r="E99" s="31" t="s">
        <v>35</v>
      </c>
      <c r="F99">
        <v>93748</v>
      </c>
      <c r="G99">
        <v>5</v>
      </c>
      <c r="H99">
        <v>2</v>
      </c>
      <c r="I99">
        <v>2</v>
      </c>
      <c r="J99" s="31" t="s">
        <v>20</v>
      </c>
      <c r="K99">
        <v>7</v>
      </c>
      <c r="L99" s="31" t="s">
        <v>19</v>
      </c>
      <c r="M99" s="31" t="s">
        <v>30</v>
      </c>
      <c r="N99">
        <v>76</v>
      </c>
      <c r="O99" s="31" t="s">
        <v>36</v>
      </c>
    </row>
    <row r="100" spans="1:15" x14ac:dyDescent="0.25">
      <c r="A100" s="31" t="s">
        <v>137</v>
      </c>
      <c r="B100">
        <v>28</v>
      </c>
      <c r="C100" s="31" t="s">
        <v>28</v>
      </c>
      <c r="D100" s="31" t="s">
        <v>24</v>
      </c>
      <c r="E100" s="31" t="s">
        <v>41</v>
      </c>
      <c r="F100">
        <v>74244</v>
      </c>
      <c r="G100">
        <v>5</v>
      </c>
      <c r="H100">
        <v>5</v>
      </c>
      <c r="I100">
        <v>5</v>
      </c>
      <c r="J100" s="31" t="s">
        <v>19</v>
      </c>
      <c r="K100">
        <v>19</v>
      </c>
      <c r="L100" s="31" t="s">
        <v>20</v>
      </c>
      <c r="M100" s="31" t="s">
        <v>21</v>
      </c>
      <c r="N100">
        <v>28</v>
      </c>
      <c r="O100" s="31" t="s">
        <v>36</v>
      </c>
    </row>
    <row r="101" spans="1:15" x14ac:dyDescent="0.25">
      <c r="A101" s="31" t="s">
        <v>138</v>
      </c>
      <c r="B101">
        <v>40</v>
      </c>
      <c r="C101" s="31" t="s">
        <v>28</v>
      </c>
      <c r="D101" s="31" t="s">
        <v>29</v>
      </c>
      <c r="E101" s="31" t="s">
        <v>35</v>
      </c>
      <c r="F101">
        <v>68925</v>
      </c>
      <c r="G101">
        <v>2</v>
      </c>
      <c r="H101">
        <v>5</v>
      </c>
      <c r="I101">
        <v>4</v>
      </c>
      <c r="J101" s="31" t="s">
        <v>19</v>
      </c>
      <c r="K101">
        <v>4</v>
      </c>
      <c r="L101" s="31" t="s">
        <v>19</v>
      </c>
      <c r="M101" s="31" t="s">
        <v>21</v>
      </c>
      <c r="N101">
        <v>72</v>
      </c>
      <c r="O101" s="31" t="s">
        <v>44</v>
      </c>
    </row>
    <row r="102" spans="1:15" x14ac:dyDescent="0.25">
      <c r="A102" s="31" t="s">
        <v>139</v>
      </c>
      <c r="B102">
        <v>45</v>
      </c>
      <c r="C102" s="31" t="s">
        <v>28</v>
      </c>
      <c r="D102" s="31" t="s">
        <v>49</v>
      </c>
      <c r="E102" s="31" t="s">
        <v>18</v>
      </c>
      <c r="F102">
        <v>38631</v>
      </c>
      <c r="G102">
        <v>3</v>
      </c>
      <c r="H102">
        <v>3</v>
      </c>
      <c r="I102">
        <v>3</v>
      </c>
      <c r="J102" s="31" t="s">
        <v>19</v>
      </c>
      <c r="K102">
        <v>1</v>
      </c>
      <c r="L102" s="31" t="s">
        <v>19</v>
      </c>
      <c r="M102" s="31" t="s">
        <v>21</v>
      </c>
      <c r="N102">
        <v>11</v>
      </c>
      <c r="O102" s="31" t="s">
        <v>22</v>
      </c>
    </row>
    <row r="103" spans="1:15" x14ac:dyDescent="0.25">
      <c r="A103" s="31" t="s">
        <v>140</v>
      </c>
      <c r="B103">
        <v>38</v>
      </c>
      <c r="C103" s="31" t="s">
        <v>28</v>
      </c>
      <c r="D103" s="31" t="s">
        <v>17</v>
      </c>
      <c r="E103" s="31" t="s">
        <v>33</v>
      </c>
      <c r="F103">
        <v>81656</v>
      </c>
      <c r="G103">
        <v>5</v>
      </c>
      <c r="H103">
        <v>4</v>
      </c>
      <c r="I103">
        <v>4</v>
      </c>
      <c r="J103" s="31" t="s">
        <v>20</v>
      </c>
      <c r="K103">
        <v>6</v>
      </c>
      <c r="L103" s="31" t="s">
        <v>19</v>
      </c>
      <c r="M103" s="31" t="s">
        <v>30</v>
      </c>
      <c r="N103">
        <v>60</v>
      </c>
      <c r="O103" s="31" t="s">
        <v>22</v>
      </c>
    </row>
    <row r="104" spans="1:15" x14ac:dyDescent="0.25">
      <c r="A104" s="31" t="s">
        <v>141</v>
      </c>
      <c r="B104">
        <v>39</v>
      </c>
      <c r="C104" s="31" t="s">
        <v>28</v>
      </c>
      <c r="D104" s="31" t="s">
        <v>24</v>
      </c>
      <c r="E104" s="31" t="s">
        <v>38</v>
      </c>
      <c r="F104">
        <v>58425</v>
      </c>
      <c r="G104">
        <v>1</v>
      </c>
      <c r="H104">
        <v>2</v>
      </c>
      <c r="I104">
        <v>4</v>
      </c>
      <c r="J104" s="31" t="s">
        <v>19</v>
      </c>
      <c r="K104">
        <v>0</v>
      </c>
      <c r="L104" s="31" t="s">
        <v>19</v>
      </c>
      <c r="M104" s="31" t="s">
        <v>30</v>
      </c>
      <c r="N104">
        <v>32</v>
      </c>
      <c r="O104" s="31" t="s">
        <v>44</v>
      </c>
    </row>
    <row r="105" spans="1:15" x14ac:dyDescent="0.25">
      <c r="A105" s="31" t="s">
        <v>142</v>
      </c>
      <c r="B105">
        <v>37</v>
      </c>
      <c r="C105" s="31" t="s">
        <v>28</v>
      </c>
      <c r="D105" s="31" t="s">
        <v>29</v>
      </c>
      <c r="E105" s="31" t="s">
        <v>35</v>
      </c>
      <c r="F105">
        <v>68925</v>
      </c>
      <c r="G105">
        <v>4</v>
      </c>
      <c r="H105">
        <v>4</v>
      </c>
      <c r="I105">
        <v>2</v>
      </c>
      <c r="J105" s="31" t="s">
        <v>19</v>
      </c>
      <c r="K105">
        <v>12</v>
      </c>
      <c r="L105" s="31" t="s">
        <v>19</v>
      </c>
      <c r="M105" s="31" t="s">
        <v>26</v>
      </c>
      <c r="N105">
        <v>76</v>
      </c>
      <c r="O105" s="31" t="s">
        <v>36</v>
      </c>
    </row>
    <row r="106" spans="1:15" x14ac:dyDescent="0.25">
      <c r="A106" s="31" t="s">
        <v>143</v>
      </c>
      <c r="B106">
        <v>25</v>
      </c>
      <c r="C106" s="31" t="s">
        <v>28</v>
      </c>
      <c r="D106" s="31" t="s">
        <v>17</v>
      </c>
      <c r="E106" s="31" t="s">
        <v>35</v>
      </c>
      <c r="F106">
        <v>75176</v>
      </c>
      <c r="G106">
        <v>1</v>
      </c>
      <c r="H106">
        <v>4</v>
      </c>
      <c r="I106">
        <v>1</v>
      </c>
      <c r="J106" s="31" t="s">
        <v>20</v>
      </c>
      <c r="K106">
        <v>18</v>
      </c>
      <c r="L106" s="31" t="s">
        <v>20</v>
      </c>
      <c r="M106" s="31" t="s">
        <v>26</v>
      </c>
      <c r="N106">
        <v>56</v>
      </c>
      <c r="O106" s="31" t="s">
        <v>42</v>
      </c>
    </row>
    <row r="107" spans="1:15" x14ac:dyDescent="0.25">
      <c r="A107" s="31" t="s">
        <v>144</v>
      </c>
      <c r="B107">
        <v>39</v>
      </c>
      <c r="C107" s="31" t="s">
        <v>16</v>
      </c>
      <c r="D107" s="31" t="s">
        <v>49</v>
      </c>
      <c r="E107" s="31" t="s">
        <v>35</v>
      </c>
      <c r="F107">
        <v>60568</v>
      </c>
      <c r="G107">
        <v>2</v>
      </c>
      <c r="H107">
        <v>5</v>
      </c>
      <c r="I107">
        <v>4</v>
      </c>
      <c r="J107" s="31" t="s">
        <v>20</v>
      </c>
      <c r="K107">
        <v>2</v>
      </c>
      <c r="L107" s="31" t="s">
        <v>20</v>
      </c>
      <c r="M107" s="31" t="s">
        <v>21</v>
      </c>
      <c r="N107">
        <v>36</v>
      </c>
      <c r="O107" s="31" t="s">
        <v>42</v>
      </c>
    </row>
    <row r="108" spans="1:15" x14ac:dyDescent="0.25">
      <c r="A108" s="31" t="s">
        <v>145</v>
      </c>
      <c r="B108">
        <v>58</v>
      </c>
      <c r="C108" s="31" t="s">
        <v>28</v>
      </c>
      <c r="D108" s="31" t="s">
        <v>24</v>
      </c>
      <c r="E108" s="31" t="s">
        <v>35</v>
      </c>
      <c r="F108">
        <v>69873</v>
      </c>
      <c r="G108">
        <v>3</v>
      </c>
      <c r="H108">
        <v>3</v>
      </c>
      <c r="I108">
        <v>2</v>
      </c>
      <c r="J108" s="31" t="s">
        <v>20</v>
      </c>
      <c r="K108">
        <v>5</v>
      </c>
      <c r="L108" s="31" t="s">
        <v>19</v>
      </c>
      <c r="M108" s="31" t="s">
        <v>26</v>
      </c>
      <c r="N108">
        <v>19</v>
      </c>
      <c r="O108" s="31" t="s">
        <v>31</v>
      </c>
    </row>
    <row r="109" spans="1:15" x14ac:dyDescent="0.25">
      <c r="A109" s="31" t="s">
        <v>146</v>
      </c>
      <c r="B109">
        <v>53</v>
      </c>
      <c r="C109" s="31" t="s">
        <v>16</v>
      </c>
      <c r="D109" s="31" t="s">
        <v>29</v>
      </c>
      <c r="E109" s="31" t="s">
        <v>18</v>
      </c>
      <c r="F109">
        <v>113339</v>
      </c>
      <c r="G109">
        <v>2</v>
      </c>
      <c r="H109">
        <v>2</v>
      </c>
      <c r="I109">
        <v>1</v>
      </c>
      <c r="J109" s="31" t="s">
        <v>19</v>
      </c>
      <c r="K109">
        <v>8</v>
      </c>
      <c r="L109" s="31" t="s">
        <v>19</v>
      </c>
      <c r="M109" s="31" t="s">
        <v>21</v>
      </c>
      <c r="N109">
        <v>24</v>
      </c>
      <c r="O109" s="31" t="s">
        <v>22</v>
      </c>
    </row>
    <row r="110" spans="1:15" x14ac:dyDescent="0.25">
      <c r="A110" s="31" t="s">
        <v>147</v>
      </c>
      <c r="B110">
        <v>32</v>
      </c>
      <c r="C110" s="31" t="s">
        <v>28</v>
      </c>
      <c r="D110" s="31" t="s">
        <v>49</v>
      </c>
      <c r="E110" s="31" t="s">
        <v>25</v>
      </c>
      <c r="F110">
        <v>117598</v>
      </c>
      <c r="G110">
        <v>5</v>
      </c>
      <c r="H110">
        <v>4</v>
      </c>
      <c r="I110">
        <v>5</v>
      </c>
      <c r="J110" s="31" t="s">
        <v>20</v>
      </c>
      <c r="K110">
        <v>20</v>
      </c>
      <c r="L110" s="31" t="s">
        <v>20</v>
      </c>
      <c r="M110" s="31" t="s">
        <v>21</v>
      </c>
      <c r="N110">
        <v>61</v>
      </c>
      <c r="O110" s="31" t="s">
        <v>22</v>
      </c>
    </row>
    <row r="111" spans="1:15" x14ac:dyDescent="0.25">
      <c r="A111" s="31" t="s">
        <v>148</v>
      </c>
      <c r="B111">
        <v>51</v>
      </c>
      <c r="C111" s="31" t="s">
        <v>28</v>
      </c>
      <c r="D111" s="31" t="s">
        <v>17</v>
      </c>
      <c r="E111" s="31" t="s">
        <v>18</v>
      </c>
      <c r="F111">
        <v>54002</v>
      </c>
      <c r="G111">
        <v>5</v>
      </c>
      <c r="H111">
        <v>1</v>
      </c>
      <c r="I111">
        <v>3</v>
      </c>
      <c r="J111" s="31" t="s">
        <v>19</v>
      </c>
      <c r="K111">
        <v>9</v>
      </c>
      <c r="L111" s="31" t="s">
        <v>20</v>
      </c>
      <c r="M111" s="31" t="s">
        <v>30</v>
      </c>
      <c r="N111">
        <v>9</v>
      </c>
      <c r="O111" s="31" t="s">
        <v>22</v>
      </c>
    </row>
    <row r="112" spans="1:15" x14ac:dyDescent="0.25">
      <c r="A112" s="31" t="s">
        <v>149</v>
      </c>
      <c r="B112">
        <v>39</v>
      </c>
      <c r="C112" s="31" t="s">
        <v>28</v>
      </c>
      <c r="D112" s="31" t="s">
        <v>40</v>
      </c>
      <c r="E112" s="31" t="s">
        <v>38</v>
      </c>
      <c r="F112">
        <v>68925</v>
      </c>
      <c r="G112">
        <v>5</v>
      </c>
      <c r="H112">
        <v>5</v>
      </c>
      <c r="I112">
        <v>5</v>
      </c>
      <c r="J112" s="31" t="s">
        <v>20</v>
      </c>
      <c r="K112">
        <v>14</v>
      </c>
      <c r="L112" s="31" t="s">
        <v>19</v>
      </c>
      <c r="M112" s="31" t="s">
        <v>30</v>
      </c>
      <c r="N112">
        <v>78</v>
      </c>
      <c r="O112" s="31" t="s">
        <v>44</v>
      </c>
    </row>
    <row r="113" spans="1:15" x14ac:dyDescent="0.25">
      <c r="A113" s="31" t="s">
        <v>150</v>
      </c>
      <c r="B113">
        <v>41</v>
      </c>
      <c r="C113" s="31" t="s">
        <v>28</v>
      </c>
      <c r="D113" s="31" t="s">
        <v>24</v>
      </c>
      <c r="E113" s="31" t="s">
        <v>41</v>
      </c>
      <c r="F113">
        <v>26109</v>
      </c>
      <c r="G113">
        <v>4</v>
      </c>
      <c r="H113">
        <v>1</v>
      </c>
      <c r="I113">
        <v>3</v>
      </c>
      <c r="J113" s="31" t="s">
        <v>19</v>
      </c>
      <c r="K113">
        <v>16</v>
      </c>
      <c r="L113" s="31" t="s">
        <v>19</v>
      </c>
      <c r="M113" s="31" t="s">
        <v>21</v>
      </c>
      <c r="N113">
        <v>36</v>
      </c>
      <c r="O113" s="31" t="s">
        <v>42</v>
      </c>
    </row>
    <row r="114" spans="1:15" x14ac:dyDescent="0.25">
      <c r="A114" s="31" t="s">
        <v>151</v>
      </c>
      <c r="B114">
        <v>49</v>
      </c>
      <c r="C114" s="31" t="s">
        <v>16</v>
      </c>
      <c r="D114" s="31" t="s">
        <v>29</v>
      </c>
      <c r="E114" s="31" t="s">
        <v>18</v>
      </c>
      <c r="F114">
        <v>55079</v>
      </c>
      <c r="G114">
        <v>3</v>
      </c>
      <c r="H114">
        <v>4</v>
      </c>
      <c r="I114">
        <v>3</v>
      </c>
      <c r="J114" s="31" t="s">
        <v>19</v>
      </c>
      <c r="K114">
        <v>20</v>
      </c>
      <c r="L114" s="31" t="s">
        <v>20</v>
      </c>
      <c r="M114" s="31" t="s">
        <v>21</v>
      </c>
      <c r="N114">
        <v>47</v>
      </c>
      <c r="O114" s="31" t="s">
        <v>22</v>
      </c>
    </row>
    <row r="115" spans="1:15" x14ac:dyDescent="0.25">
      <c r="A115" s="31" t="s">
        <v>152</v>
      </c>
      <c r="B115">
        <v>56</v>
      </c>
      <c r="C115" s="31" t="s">
        <v>28</v>
      </c>
      <c r="D115" s="31" t="s">
        <v>29</v>
      </c>
      <c r="E115" s="31" t="s">
        <v>18</v>
      </c>
      <c r="F115">
        <v>112861</v>
      </c>
      <c r="G115">
        <v>5</v>
      </c>
      <c r="H115">
        <v>2</v>
      </c>
      <c r="I115">
        <v>3</v>
      </c>
      <c r="J115" s="31" t="s">
        <v>19</v>
      </c>
      <c r="K115">
        <v>18</v>
      </c>
      <c r="L115" s="31" t="s">
        <v>19</v>
      </c>
      <c r="M115" s="31" t="s">
        <v>30</v>
      </c>
      <c r="N115">
        <v>44</v>
      </c>
      <c r="O115" s="31" t="s">
        <v>42</v>
      </c>
    </row>
    <row r="116" spans="1:15" x14ac:dyDescent="0.25">
      <c r="A116" s="31" t="s">
        <v>153</v>
      </c>
      <c r="B116">
        <v>29</v>
      </c>
      <c r="C116" s="31" t="s">
        <v>16</v>
      </c>
      <c r="D116" s="31" t="s">
        <v>29</v>
      </c>
      <c r="E116" s="31" t="s">
        <v>25</v>
      </c>
      <c r="F116">
        <v>67372</v>
      </c>
      <c r="G116">
        <v>3</v>
      </c>
      <c r="H116">
        <v>2</v>
      </c>
      <c r="I116">
        <v>5</v>
      </c>
      <c r="J116" s="31" t="s">
        <v>19</v>
      </c>
      <c r="K116">
        <v>20</v>
      </c>
      <c r="L116" s="31" t="s">
        <v>20</v>
      </c>
      <c r="M116" s="31" t="s">
        <v>26</v>
      </c>
      <c r="N116">
        <v>51</v>
      </c>
      <c r="O116" s="31" t="s">
        <v>22</v>
      </c>
    </row>
    <row r="117" spans="1:15" x14ac:dyDescent="0.25">
      <c r="A117" s="31" t="s">
        <v>154</v>
      </c>
      <c r="B117">
        <v>44</v>
      </c>
      <c r="C117" s="31" t="s">
        <v>28</v>
      </c>
      <c r="D117" s="31" t="s">
        <v>51</v>
      </c>
      <c r="E117" s="31" t="s">
        <v>41</v>
      </c>
      <c r="F117">
        <v>62791</v>
      </c>
      <c r="G117">
        <v>4</v>
      </c>
      <c r="H117">
        <v>2</v>
      </c>
      <c r="I117">
        <v>2</v>
      </c>
      <c r="J117" s="31" t="s">
        <v>19</v>
      </c>
      <c r="K117">
        <v>4</v>
      </c>
      <c r="L117" s="31" t="s">
        <v>19</v>
      </c>
      <c r="M117" s="31" t="s">
        <v>30</v>
      </c>
      <c r="N117">
        <v>17</v>
      </c>
      <c r="O117" s="31" t="s">
        <v>31</v>
      </c>
    </row>
    <row r="118" spans="1:15" x14ac:dyDescent="0.25">
      <c r="A118" s="31" t="s">
        <v>155</v>
      </c>
      <c r="B118">
        <v>55</v>
      </c>
      <c r="C118" s="31" t="s">
        <v>16</v>
      </c>
      <c r="D118" s="31" t="s">
        <v>17</v>
      </c>
      <c r="E118" s="31" t="s">
        <v>18</v>
      </c>
      <c r="F118">
        <v>118441</v>
      </c>
      <c r="G118">
        <v>5</v>
      </c>
      <c r="H118">
        <v>2</v>
      </c>
      <c r="I118">
        <v>5</v>
      </c>
      <c r="J118" s="31" t="s">
        <v>20</v>
      </c>
      <c r="K118">
        <v>4</v>
      </c>
      <c r="L118" s="31" t="s">
        <v>19</v>
      </c>
      <c r="M118" s="31" t="s">
        <v>21</v>
      </c>
      <c r="N118">
        <v>26</v>
      </c>
      <c r="O118" s="31" t="s">
        <v>42</v>
      </c>
    </row>
    <row r="119" spans="1:15" x14ac:dyDescent="0.25">
      <c r="A119" s="31" t="s">
        <v>156</v>
      </c>
      <c r="B119">
        <v>39</v>
      </c>
      <c r="C119" s="31" t="s">
        <v>28</v>
      </c>
      <c r="D119" s="31" t="s">
        <v>29</v>
      </c>
      <c r="E119" s="31" t="s">
        <v>38</v>
      </c>
      <c r="F119">
        <v>112317</v>
      </c>
      <c r="G119">
        <v>2</v>
      </c>
      <c r="H119">
        <v>4</v>
      </c>
      <c r="I119">
        <v>5</v>
      </c>
      <c r="J119" s="31" t="s">
        <v>20</v>
      </c>
      <c r="K119">
        <v>14</v>
      </c>
      <c r="L119" s="31" t="s">
        <v>19</v>
      </c>
      <c r="M119" s="31" t="s">
        <v>26</v>
      </c>
      <c r="N119">
        <v>35</v>
      </c>
      <c r="O119" s="31" t="s">
        <v>36</v>
      </c>
    </row>
    <row r="120" spans="1:15" x14ac:dyDescent="0.25">
      <c r="A120" s="31" t="s">
        <v>157</v>
      </c>
      <c r="B120">
        <v>51</v>
      </c>
      <c r="C120" s="31" t="s">
        <v>16</v>
      </c>
      <c r="D120" s="31" t="s">
        <v>29</v>
      </c>
      <c r="E120" s="31" t="s">
        <v>38</v>
      </c>
      <c r="F120">
        <v>92766</v>
      </c>
      <c r="G120">
        <v>4</v>
      </c>
      <c r="H120">
        <v>4</v>
      </c>
      <c r="I120">
        <v>3</v>
      </c>
      <c r="J120" s="31" t="s">
        <v>20</v>
      </c>
      <c r="K120">
        <v>16</v>
      </c>
      <c r="L120" s="31" t="s">
        <v>20</v>
      </c>
      <c r="M120" s="31" t="s">
        <v>21</v>
      </c>
      <c r="N120">
        <v>30</v>
      </c>
      <c r="O120" s="31" t="s">
        <v>31</v>
      </c>
    </row>
    <row r="121" spans="1:15" x14ac:dyDescent="0.25">
      <c r="A121" s="31" t="s">
        <v>158</v>
      </c>
      <c r="B121">
        <v>29</v>
      </c>
      <c r="C121" s="31" t="s">
        <v>28</v>
      </c>
      <c r="D121" s="31" t="s">
        <v>40</v>
      </c>
      <c r="E121" s="31" t="s">
        <v>38</v>
      </c>
      <c r="F121">
        <v>80991</v>
      </c>
      <c r="G121">
        <v>3</v>
      </c>
      <c r="H121">
        <v>5</v>
      </c>
      <c r="I121">
        <v>1</v>
      </c>
      <c r="J121" s="31" t="s">
        <v>19</v>
      </c>
      <c r="K121">
        <v>9</v>
      </c>
      <c r="L121" s="31" t="s">
        <v>19</v>
      </c>
      <c r="M121" s="31" t="s">
        <v>21</v>
      </c>
      <c r="N121">
        <v>39</v>
      </c>
      <c r="O121" s="31" t="s">
        <v>42</v>
      </c>
    </row>
    <row r="122" spans="1:15" x14ac:dyDescent="0.25">
      <c r="A122" s="31" t="s">
        <v>159</v>
      </c>
      <c r="B122">
        <v>53</v>
      </c>
      <c r="C122" s="31" t="s">
        <v>16</v>
      </c>
      <c r="D122" s="31" t="s">
        <v>49</v>
      </c>
      <c r="E122" s="31" t="s">
        <v>35</v>
      </c>
      <c r="F122">
        <v>47102</v>
      </c>
      <c r="G122">
        <v>4</v>
      </c>
      <c r="H122">
        <v>3</v>
      </c>
      <c r="I122">
        <v>1</v>
      </c>
      <c r="J122" s="31" t="s">
        <v>20</v>
      </c>
      <c r="K122">
        <v>1</v>
      </c>
      <c r="L122" s="31" t="s">
        <v>20</v>
      </c>
      <c r="M122" s="31" t="s">
        <v>26</v>
      </c>
      <c r="N122">
        <v>52</v>
      </c>
      <c r="O122" s="31" t="s">
        <v>44</v>
      </c>
    </row>
    <row r="123" spans="1:15" x14ac:dyDescent="0.25">
      <c r="A123" s="31" t="s">
        <v>160</v>
      </c>
      <c r="B123">
        <v>45</v>
      </c>
      <c r="C123" s="31" t="s">
        <v>16</v>
      </c>
      <c r="D123" s="31" t="s">
        <v>29</v>
      </c>
      <c r="E123" s="31" t="s">
        <v>41</v>
      </c>
      <c r="F123">
        <v>21694</v>
      </c>
      <c r="G123">
        <v>3</v>
      </c>
      <c r="H123">
        <v>1</v>
      </c>
      <c r="I123">
        <v>3</v>
      </c>
      <c r="J123" s="31" t="s">
        <v>19</v>
      </c>
      <c r="K123">
        <v>4</v>
      </c>
      <c r="L123" s="31" t="s">
        <v>19</v>
      </c>
      <c r="M123" s="31" t="s">
        <v>30</v>
      </c>
      <c r="N123">
        <v>65</v>
      </c>
      <c r="O123" s="31" t="s">
        <v>44</v>
      </c>
    </row>
    <row r="124" spans="1:15" x14ac:dyDescent="0.25">
      <c r="A124" s="31" t="s">
        <v>161</v>
      </c>
      <c r="B124">
        <v>51</v>
      </c>
      <c r="C124" s="31" t="s">
        <v>28</v>
      </c>
      <c r="D124" s="31" t="s">
        <v>24</v>
      </c>
      <c r="E124" s="31" t="s">
        <v>35</v>
      </c>
      <c r="F124">
        <v>28384</v>
      </c>
      <c r="G124">
        <v>1</v>
      </c>
      <c r="H124">
        <v>3</v>
      </c>
      <c r="I124">
        <v>2</v>
      </c>
      <c r="J124" s="31" t="s">
        <v>19</v>
      </c>
      <c r="K124">
        <v>17</v>
      </c>
      <c r="L124" s="31" t="s">
        <v>20</v>
      </c>
      <c r="M124" s="31" t="s">
        <v>21</v>
      </c>
      <c r="N124">
        <v>41</v>
      </c>
      <c r="O124" s="31" t="s">
        <v>44</v>
      </c>
    </row>
    <row r="125" spans="1:15" x14ac:dyDescent="0.25">
      <c r="A125" s="31" t="s">
        <v>162</v>
      </c>
      <c r="B125">
        <v>40</v>
      </c>
      <c r="C125" s="31" t="s">
        <v>16</v>
      </c>
      <c r="D125" s="31" t="s">
        <v>40</v>
      </c>
      <c r="E125" s="31" t="s">
        <v>41</v>
      </c>
      <c r="F125">
        <v>73027</v>
      </c>
      <c r="G125">
        <v>5</v>
      </c>
      <c r="H125">
        <v>4</v>
      </c>
      <c r="I125">
        <v>1</v>
      </c>
      <c r="J125" s="31" t="s">
        <v>19</v>
      </c>
      <c r="K125">
        <v>15</v>
      </c>
      <c r="L125" s="31" t="s">
        <v>19</v>
      </c>
      <c r="M125" s="31" t="s">
        <v>26</v>
      </c>
      <c r="N125">
        <v>70</v>
      </c>
      <c r="O125" s="31" t="s">
        <v>31</v>
      </c>
    </row>
    <row r="126" spans="1:15" x14ac:dyDescent="0.25">
      <c r="A126" s="31" t="s">
        <v>163</v>
      </c>
      <c r="B126">
        <v>36</v>
      </c>
      <c r="C126" s="31" t="s">
        <v>16</v>
      </c>
      <c r="D126" s="31" t="s">
        <v>29</v>
      </c>
      <c r="E126" s="31" t="s">
        <v>33</v>
      </c>
      <c r="F126">
        <v>18205</v>
      </c>
      <c r="G126">
        <v>5</v>
      </c>
      <c r="H126">
        <v>3</v>
      </c>
      <c r="I126">
        <v>2</v>
      </c>
      <c r="J126" s="31" t="s">
        <v>20</v>
      </c>
      <c r="K126">
        <v>5</v>
      </c>
      <c r="L126" s="31" t="s">
        <v>19</v>
      </c>
      <c r="M126" s="31" t="s">
        <v>26</v>
      </c>
      <c r="N126">
        <v>51</v>
      </c>
      <c r="O126" s="31" t="s">
        <v>22</v>
      </c>
    </row>
    <row r="127" spans="1:15" x14ac:dyDescent="0.25">
      <c r="A127" s="31" t="s">
        <v>164</v>
      </c>
      <c r="B127">
        <v>54</v>
      </c>
      <c r="C127" s="31" t="s">
        <v>16</v>
      </c>
      <c r="D127" s="31" t="s">
        <v>49</v>
      </c>
      <c r="E127" s="31" t="s">
        <v>33</v>
      </c>
      <c r="F127">
        <v>23706</v>
      </c>
      <c r="G127">
        <v>4</v>
      </c>
      <c r="H127">
        <v>3</v>
      </c>
      <c r="I127">
        <v>3</v>
      </c>
      <c r="J127" s="31" t="s">
        <v>19</v>
      </c>
      <c r="K127">
        <v>11</v>
      </c>
      <c r="L127" s="31" t="s">
        <v>19</v>
      </c>
      <c r="M127" s="31" t="s">
        <v>30</v>
      </c>
      <c r="N127">
        <v>35</v>
      </c>
      <c r="O127" s="31" t="s">
        <v>22</v>
      </c>
    </row>
    <row r="128" spans="1:15" x14ac:dyDescent="0.25">
      <c r="A128" s="31" t="s">
        <v>165</v>
      </c>
      <c r="B128">
        <v>58</v>
      </c>
      <c r="C128" s="31" t="s">
        <v>28</v>
      </c>
      <c r="D128" s="31" t="s">
        <v>51</v>
      </c>
      <c r="E128" s="31" t="s">
        <v>35</v>
      </c>
      <c r="F128">
        <v>64176</v>
      </c>
      <c r="G128">
        <v>5</v>
      </c>
      <c r="H128">
        <v>3</v>
      </c>
      <c r="I128">
        <v>3</v>
      </c>
      <c r="J128" s="31" t="s">
        <v>20</v>
      </c>
      <c r="K128">
        <v>15</v>
      </c>
      <c r="L128" s="31" t="s">
        <v>19</v>
      </c>
      <c r="M128" s="31" t="s">
        <v>21</v>
      </c>
      <c r="N128">
        <v>13</v>
      </c>
      <c r="O128" s="31" t="s">
        <v>42</v>
      </c>
    </row>
    <row r="129" spans="1:15" x14ac:dyDescent="0.25">
      <c r="A129" s="31" t="s">
        <v>166</v>
      </c>
      <c r="B129">
        <v>23</v>
      </c>
      <c r="C129" s="31" t="s">
        <v>28</v>
      </c>
      <c r="D129" s="31" t="s">
        <v>51</v>
      </c>
      <c r="E129" s="31" t="s">
        <v>35</v>
      </c>
      <c r="F129">
        <v>44144</v>
      </c>
      <c r="G129">
        <v>1</v>
      </c>
      <c r="H129">
        <v>3</v>
      </c>
      <c r="I129">
        <v>3</v>
      </c>
      <c r="J129" s="31" t="s">
        <v>20</v>
      </c>
      <c r="K129">
        <v>17</v>
      </c>
      <c r="L129" s="31" t="s">
        <v>20</v>
      </c>
      <c r="M129" s="31" t="s">
        <v>30</v>
      </c>
      <c r="N129">
        <v>9</v>
      </c>
      <c r="O129" s="31" t="s">
        <v>44</v>
      </c>
    </row>
    <row r="130" spans="1:15" x14ac:dyDescent="0.25">
      <c r="A130" s="31" t="s">
        <v>167</v>
      </c>
      <c r="B130">
        <v>39</v>
      </c>
      <c r="C130" s="31" t="s">
        <v>28</v>
      </c>
      <c r="D130" s="31" t="s">
        <v>40</v>
      </c>
      <c r="E130" s="31" t="s">
        <v>38</v>
      </c>
      <c r="F130">
        <v>61506</v>
      </c>
      <c r="G130">
        <v>3</v>
      </c>
      <c r="H130">
        <v>1</v>
      </c>
      <c r="I130">
        <v>3</v>
      </c>
      <c r="J130" s="31" t="s">
        <v>20</v>
      </c>
      <c r="K130">
        <v>12</v>
      </c>
      <c r="L130" s="31" t="s">
        <v>20</v>
      </c>
      <c r="M130" s="31" t="s">
        <v>30</v>
      </c>
      <c r="N130">
        <v>48</v>
      </c>
      <c r="O130" s="31" t="s">
        <v>44</v>
      </c>
    </row>
    <row r="131" spans="1:15" x14ac:dyDescent="0.25">
      <c r="A131" s="31" t="s">
        <v>168</v>
      </c>
      <c r="B131">
        <v>52</v>
      </c>
      <c r="C131" s="31" t="s">
        <v>28</v>
      </c>
      <c r="D131" s="31" t="s">
        <v>29</v>
      </c>
      <c r="E131" s="31" t="s">
        <v>25</v>
      </c>
      <c r="F131">
        <v>52959</v>
      </c>
      <c r="G131">
        <v>1</v>
      </c>
      <c r="H131">
        <v>4</v>
      </c>
      <c r="I131">
        <v>1</v>
      </c>
      <c r="J131" s="31" t="s">
        <v>20</v>
      </c>
      <c r="K131">
        <v>19</v>
      </c>
      <c r="L131" s="31" t="s">
        <v>19</v>
      </c>
      <c r="M131" s="31" t="s">
        <v>26</v>
      </c>
      <c r="N131">
        <v>42</v>
      </c>
      <c r="O131" s="31" t="s">
        <v>36</v>
      </c>
    </row>
    <row r="132" spans="1:15" x14ac:dyDescent="0.25">
      <c r="A132" s="31" t="s">
        <v>169</v>
      </c>
      <c r="B132">
        <v>27</v>
      </c>
      <c r="C132" s="31" t="s">
        <v>16</v>
      </c>
      <c r="D132" s="31" t="s">
        <v>29</v>
      </c>
      <c r="E132" s="31" t="s">
        <v>38</v>
      </c>
      <c r="F132">
        <v>56750</v>
      </c>
      <c r="G132">
        <v>3</v>
      </c>
      <c r="H132">
        <v>4</v>
      </c>
      <c r="I132">
        <v>5</v>
      </c>
      <c r="J132" s="31" t="s">
        <v>20</v>
      </c>
      <c r="K132">
        <v>5</v>
      </c>
      <c r="L132" s="31" t="s">
        <v>20</v>
      </c>
      <c r="M132" s="31" t="s">
        <v>30</v>
      </c>
      <c r="N132">
        <v>62</v>
      </c>
      <c r="O132" s="31" t="s">
        <v>22</v>
      </c>
    </row>
    <row r="133" spans="1:15" x14ac:dyDescent="0.25">
      <c r="A133" s="31" t="s">
        <v>170</v>
      </c>
      <c r="B133">
        <v>43</v>
      </c>
      <c r="C133" s="31" t="s">
        <v>28</v>
      </c>
      <c r="D133" s="31" t="s">
        <v>29</v>
      </c>
      <c r="E133" s="31" t="s">
        <v>38</v>
      </c>
      <c r="F133">
        <v>25518</v>
      </c>
      <c r="G133">
        <v>1</v>
      </c>
      <c r="H133">
        <v>4</v>
      </c>
      <c r="I133">
        <v>3</v>
      </c>
      <c r="J133" s="31" t="s">
        <v>19</v>
      </c>
      <c r="K133">
        <v>0</v>
      </c>
      <c r="L133" s="31" t="s">
        <v>19</v>
      </c>
      <c r="M133" s="31" t="s">
        <v>26</v>
      </c>
      <c r="N133">
        <v>61</v>
      </c>
      <c r="O133" s="31" t="s">
        <v>22</v>
      </c>
    </row>
    <row r="134" spans="1:15" x14ac:dyDescent="0.25">
      <c r="A134" s="31" t="s">
        <v>171</v>
      </c>
      <c r="B134">
        <v>29</v>
      </c>
      <c r="C134" s="31" t="s">
        <v>16</v>
      </c>
      <c r="D134" s="31" t="s">
        <v>51</v>
      </c>
      <c r="E134" s="31" t="s">
        <v>38</v>
      </c>
      <c r="F134">
        <v>66015</v>
      </c>
      <c r="G134">
        <v>3</v>
      </c>
      <c r="H134">
        <v>4</v>
      </c>
      <c r="I134">
        <v>5</v>
      </c>
      <c r="J134" s="31" t="s">
        <v>19</v>
      </c>
      <c r="K134">
        <v>19</v>
      </c>
      <c r="L134" s="31" t="s">
        <v>19</v>
      </c>
      <c r="M134" s="31" t="s">
        <v>26</v>
      </c>
      <c r="N134">
        <v>62</v>
      </c>
      <c r="O134" s="31" t="s">
        <v>36</v>
      </c>
    </row>
    <row r="135" spans="1:15" x14ac:dyDescent="0.25">
      <c r="A135" s="31" t="s">
        <v>172</v>
      </c>
      <c r="B135">
        <v>44</v>
      </c>
      <c r="C135" s="31" t="s">
        <v>28</v>
      </c>
      <c r="D135" s="31" t="s">
        <v>40</v>
      </c>
      <c r="E135" s="31" t="s">
        <v>25</v>
      </c>
      <c r="F135">
        <v>36047</v>
      </c>
      <c r="G135">
        <v>5</v>
      </c>
      <c r="H135">
        <v>3</v>
      </c>
      <c r="I135">
        <v>4</v>
      </c>
      <c r="J135" s="31" t="s">
        <v>20</v>
      </c>
      <c r="K135">
        <v>20</v>
      </c>
      <c r="L135" s="31" t="s">
        <v>20</v>
      </c>
      <c r="M135" s="31" t="s">
        <v>21</v>
      </c>
      <c r="N135">
        <v>19</v>
      </c>
      <c r="O135" s="31" t="s">
        <v>22</v>
      </c>
    </row>
    <row r="136" spans="1:15" x14ac:dyDescent="0.25">
      <c r="A136" s="31" t="s">
        <v>173</v>
      </c>
      <c r="B136">
        <v>32</v>
      </c>
      <c r="C136" s="31" t="s">
        <v>28</v>
      </c>
      <c r="D136" s="31" t="s">
        <v>24</v>
      </c>
      <c r="E136" s="31" t="s">
        <v>33</v>
      </c>
      <c r="F136">
        <v>91619</v>
      </c>
      <c r="G136">
        <v>1</v>
      </c>
      <c r="H136">
        <v>3</v>
      </c>
      <c r="I136">
        <v>3</v>
      </c>
      <c r="J136" s="31" t="s">
        <v>20</v>
      </c>
      <c r="K136">
        <v>6</v>
      </c>
      <c r="L136" s="31" t="s">
        <v>20</v>
      </c>
      <c r="M136" s="31" t="s">
        <v>26</v>
      </c>
      <c r="N136">
        <v>67</v>
      </c>
      <c r="O136" s="31" t="s">
        <v>44</v>
      </c>
    </row>
    <row r="137" spans="1:15" x14ac:dyDescent="0.25">
      <c r="A137" s="31" t="s">
        <v>174</v>
      </c>
      <c r="B137">
        <v>28</v>
      </c>
      <c r="C137" s="31" t="s">
        <v>16</v>
      </c>
      <c r="D137" s="31" t="s">
        <v>40</v>
      </c>
      <c r="E137" s="31" t="s">
        <v>33</v>
      </c>
      <c r="F137">
        <v>40630</v>
      </c>
      <c r="G137">
        <v>4</v>
      </c>
      <c r="H137">
        <v>1</v>
      </c>
      <c r="I137">
        <v>3</v>
      </c>
      <c r="J137" s="31" t="s">
        <v>20</v>
      </c>
      <c r="K137">
        <v>2</v>
      </c>
      <c r="L137" s="31" t="s">
        <v>20</v>
      </c>
      <c r="M137" s="31" t="s">
        <v>30</v>
      </c>
      <c r="N137">
        <v>25</v>
      </c>
      <c r="O137" s="31" t="s">
        <v>44</v>
      </c>
    </row>
    <row r="138" spans="1:15" x14ac:dyDescent="0.25">
      <c r="A138" s="31" t="s">
        <v>175</v>
      </c>
      <c r="B138">
        <v>44</v>
      </c>
      <c r="C138" s="31" t="s">
        <v>16</v>
      </c>
      <c r="D138" s="31" t="s">
        <v>40</v>
      </c>
      <c r="E138" s="31" t="s">
        <v>41</v>
      </c>
      <c r="F138">
        <v>36202</v>
      </c>
      <c r="G138">
        <v>2</v>
      </c>
      <c r="H138">
        <v>4</v>
      </c>
      <c r="I138">
        <v>1</v>
      </c>
      <c r="J138" s="31" t="s">
        <v>20</v>
      </c>
      <c r="K138">
        <v>17</v>
      </c>
      <c r="L138" s="31" t="s">
        <v>20</v>
      </c>
      <c r="M138" s="31" t="s">
        <v>30</v>
      </c>
      <c r="N138">
        <v>75</v>
      </c>
      <c r="O138" s="31" t="s">
        <v>44</v>
      </c>
    </row>
    <row r="139" spans="1:15" x14ac:dyDescent="0.25">
      <c r="A139" s="31" t="s">
        <v>176</v>
      </c>
      <c r="B139">
        <v>26</v>
      </c>
      <c r="C139" s="31" t="s">
        <v>16</v>
      </c>
      <c r="D139" s="31" t="s">
        <v>29</v>
      </c>
      <c r="E139" s="31" t="s">
        <v>33</v>
      </c>
      <c r="F139">
        <v>111969</v>
      </c>
      <c r="G139">
        <v>4</v>
      </c>
      <c r="H139">
        <v>5</v>
      </c>
      <c r="I139">
        <v>4</v>
      </c>
      <c r="J139" s="31" t="s">
        <v>20</v>
      </c>
      <c r="K139">
        <v>18</v>
      </c>
      <c r="L139" s="31" t="s">
        <v>19</v>
      </c>
      <c r="M139" s="31" t="s">
        <v>21</v>
      </c>
      <c r="N139">
        <v>45</v>
      </c>
      <c r="O139" s="31" t="s">
        <v>22</v>
      </c>
    </row>
    <row r="140" spans="1:15" x14ac:dyDescent="0.25">
      <c r="A140" s="31" t="s">
        <v>177</v>
      </c>
      <c r="B140">
        <v>49</v>
      </c>
      <c r="C140" s="31" t="s">
        <v>28</v>
      </c>
      <c r="D140" s="31" t="s">
        <v>17</v>
      </c>
      <c r="E140" s="31" t="s">
        <v>25</v>
      </c>
      <c r="F140">
        <v>68925</v>
      </c>
      <c r="G140">
        <v>2</v>
      </c>
      <c r="H140">
        <v>5</v>
      </c>
      <c r="I140">
        <v>5</v>
      </c>
      <c r="J140" s="31" t="s">
        <v>19</v>
      </c>
      <c r="K140">
        <v>4</v>
      </c>
      <c r="L140" s="31" t="s">
        <v>20</v>
      </c>
      <c r="M140" s="31" t="s">
        <v>26</v>
      </c>
      <c r="N140">
        <v>12</v>
      </c>
      <c r="O140" s="31" t="s">
        <v>22</v>
      </c>
    </row>
    <row r="141" spans="1:15" x14ac:dyDescent="0.25">
      <c r="A141" s="31" t="s">
        <v>178</v>
      </c>
      <c r="B141">
        <v>54</v>
      </c>
      <c r="C141" s="31" t="s">
        <v>16</v>
      </c>
      <c r="D141" s="31" t="s">
        <v>29</v>
      </c>
      <c r="E141" s="31" t="s">
        <v>41</v>
      </c>
      <c r="F141">
        <v>39229</v>
      </c>
      <c r="G141">
        <v>3</v>
      </c>
      <c r="H141">
        <v>2</v>
      </c>
      <c r="I141">
        <v>3</v>
      </c>
      <c r="J141" s="31" t="s">
        <v>20</v>
      </c>
      <c r="K141">
        <v>2</v>
      </c>
      <c r="L141" s="31" t="s">
        <v>20</v>
      </c>
      <c r="M141" s="31" t="s">
        <v>21</v>
      </c>
      <c r="N141">
        <v>75</v>
      </c>
      <c r="O141" s="31" t="s">
        <v>36</v>
      </c>
    </row>
    <row r="142" spans="1:15" x14ac:dyDescent="0.25">
      <c r="A142" s="31" t="s">
        <v>179</v>
      </c>
      <c r="B142">
        <v>29</v>
      </c>
      <c r="C142" s="31" t="s">
        <v>28</v>
      </c>
      <c r="D142" s="31" t="s">
        <v>24</v>
      </c>
      <c r="E142" s="31" t="s">
        <v>25</v>
      </c>
      <c r="F142">
        <v>30245</v>
      </c>
      <c r="G142">
        <v>5</v>
      </c>
      <c r="H142">
        <v>2</v>
      </c>
      <c r="I142">
        <v>5</v>
      </c>
      <c r="J142" s="31" t="s">
        <v>19</v>
      </c>
      <c r="K142">
        <v>5</v>
      </c>
      <c r="L142" s="31" t="s">
        <v>20</v>
      </c>
      <c r="M142" s="31" t="s">
        <v>26</v>
      </c>
      <c r="N142">
        <v>10</v>
      </c>
      <c r="O142" s="31" t="s">
        <v>22</v>
      </c>
    </row>
    <row r="143" spans="1:15" x14ac:dyDescent="0.25">
      <c r="A143" s="31" t="s">
        <v>180</v>
      </c>
      <c r="B143">
        <v>26</v>
      </c>
      <c r="C143" s="31" t="s">
        <v>16</v>
      </c>
      <c r="D143" s="31" t="s">
        <v>17</v>
      </c>
      <c r="E143" s="31" t="s">
        <v>25</v>
      </c>
      <c r="F143">
        <v>52688</v>
      </c>
      <c r="G143">
        <v>2</v>
      </c>
      <c r="H143">
        <v>5</v>
      </c>
      <c r="I143">
        <v>4</v>
      </c>
      <c r="J143" s="31" t="s">
        <v>19</v>
      </c>
      <c r="K143">
        <v>15</v>
      </c>
      <c r="L143" s="31" t="s">
        <v>20</v>
      </c>
      <c r="M143" s="31" t="s">
        <v>26</v>
      </c>
      <c r="N143">
        <v>43</v>
      </c>
      <c r="O143" s="31" t="s">
        <v>42</v>
      </c>
    </row>
    <row r="144" spans="1:15" x14ac:dyDescent="0.25">
      <c r="A144" s="31" t="s">
        <v>181</v>
      </c>
      <c r="B144">
        <v>36</v>
      </c>
      <c r="C144" s="31" t="s">
        <v>28</v>
      </c>
      <c r="D144" s="31" t="s">
        <v>29</v>
      </c>
      <c r="E144" s="31" t="s">
        <v>33</v>
      </c>
      <c r="F144">
        <v>27564</v>
      </c>
      <c r="G144">
        <v>1</v>
      </c>
      <c r="H144">
        <v>2</v>
      </c>
      <c r="I144">
        <v>3</v>
      </c>
      <c r="J144" s="31" t="s">
        <v>20</v>
      </c>
      <c r="K144">
        <v>15</v>
      </c>
      <c r="L144" s="31" t="s">
        <v>20</v>
      </c>
      <c r="M144" s="31" t="s">
        <v>21</v>
      </c>
      <c r="N144">
        <v>48</v>
      </c>
      <c r="O144" s="31" t="s">
        <v>31</v>
      </c>
    </row>
    <row r="145" spans="1:15" x14ac:dyDescent="0.25">
      <c r="A145" s="31" t="s">
        <v>182</v>
      </c>
      <c r="B145">
        <v>30</v>
      </c>
      <c r="C145" s="31" t="s">
        <v>28</v>
      </c>
      <c r="D145" s="31" t="s">
        <v>17</v>
      </c>
      <c r="E145" s="31" t="s">
        <v>18</v>
      </c>
      <c r="F145">
        <v>114233</v>
      </c>
      <c r="G145">
        <v>3</v>
      </c>
      <c r="H145">
        <v>4</v>
      </c>
      <c r="I145">
        <v>2</v>
      </c>
      <c r="J145" s="31" t="s">
        <v>20</v>
      </c>
      <c r="K145">
        <v>16</v>
      </c>
      <c r="L145" s="31" t="s">
        <v>19</v>
      </c>
      <c r="M145" s="31" t="s">
        <v>30</v>
      </c>
      <c r="N145">
        <v>35</v>
      </c>
      <c r="O145" s="31" t="s">
        <v>42</v>
      </c>
    </row>
    <row r="146" spans="1:15" x14ac:dyDescent="0.25">
      <c r="A146" s="31" t="s">
        <v>183</v>
      </c>
      <c r="B146">
        <v>28</v>
      </c>
      <c r="C146" s="31" t="s">
        <v>28</v>
      </c>
      <c r="D146" s="31" t="s">
        <v>49</v>
      </c>
      <c r="E146" s="31" t="s">
        <v>41</v>
      </c>
      <c r="F146">
        <v>36465</v>
      </c>
      <c r="G146">
        <v>1</v>
      </c>
      <c r="H146">
        <v>1</v>
      </c>
      <c r="I146">
        <v>3</v>
      </c>
      <c r="J146" s="31" t="s">
        <v>20</v>
      </c>
      <c r="K146">
        <v>19</v>
      </c>
      <c r="L146" s="31" t="s">
        <v>20</v>
      </c>
      <c r="M146" s="31" t="s">
        <v>21</v>
      </c>
      <c r="N146">
        <v>25</v>
      </c>
      <c r="O146" s="31" t="s">
        <v>36</v>
      </c>
    </row>
    <row r="147" spans="1:15" x14ac:dyDescent="0.25">
      <c r="A147" s="31" t="s">
        <v>184</v>
      </c>
      <c r="B147">
        <v>57</v>
      </c>
      <c r="C147" s="31" t="s">
        <v>28</v>
      </c>
      <c r="D147" s="31" t="s">
        <v>51</v>
      </c>
      <c r="E147" s="31" t="s">
        <v>41</v>
      </c>
      <c r="F147">
        <v>83308</v>
      </c>
      <c r="G147">
        <v>5</v>
      </c>
      <c r="H147">
        <v>4</v>
      </c>
      <c r="I147">
        <v>4</v>
      </c>
      <c r="J147" s="31" t="s">
        <v>20</v>
      </c>
      <c r="K147">
        <v>15</v>
      </c>
      <c r="L147" s="31" t="s">
        <v>19</v>
      </c>
      <c r="M147" s="31" t="s">
        <v>21</v>
      </c>
      <c r="N147">
        <v>55</v>
      </c>
      <c r="O147" s="31" t="s">
        <v>31</v>
      </c>
    </row>
    <row r="148" spans="1:15" x14ac:dyDescent="0.25">
      <c r="A148" s="31" t="s">
        <v>185</v>
      </c>
      <c r="B148">
        <v>50</v>
      </c>
      <c r="C148" s="31" t="s">
        <v>16</v>
      </c>
      <c r="D148" s="31" t="s">
        <v>51</v>
      </c>
      <c r="E148" s="31" t="s">
        <v>25</v>
      </c>
      <c r="F148">
        <v>64254</v>
      </c>
      <c r="G148">
        <v>1</v>
      </c>
      <c r="H148">
        <v>1</v>
      </c>
      <c r="I148">
        <v>3</v>
      </c>
      <c r="J148" s="31" t="s">
        <v>20</v>
      </c>
      <c r="K148">
        <v>19</v>
      </c>
      <c r="L148" s="31" t="s">
        <v>20</v>
      </c>
      <c r="M148" s="31" t="s">
        <v>30</v>
      </c>
      <c r="N148">
        <v>73</v>
      </c>
      <c r="O148" s="31" t="s">
        <v>22</v>
      </c>
    </row>
    <row r="149" spans="1:15" x14ac:dyDescent="0.25">
      <c r="A149" s="31" t="s">
        <v>186</v>
      </c>
      <c r="B149">
        <v>27</v>
      </c>
      <c r="C149" s="31" t="s">
        <v>28</v>
      </c>
      <c r="D149" s="31" t="s">
        <v>51</v>
      </c>
      <c r="E149" s="31" t="s">
        <v>18</v>
      </c>
      <c r="F149">
        <v>113355</v>
      </c>
      <c r="G149">
        <v>3</v>
      </c>
      <c r="H149">
        <v>4</v>
      </c>
      <c r="I149">
        <v>3</v>
      </c>
      <c r="J149" s="31" t="s">
        <v>19</v>
      </c>
      <c r="K149">
        <v>12</v>
      </c>
      <c r="L149" s="31" t="s">
        <v>19</v>
      </c>
      <c r="M149" s="31" t="s">
        <v>26</v>
      </c>
      <c r="N149">
        <v>76</v>
      </c>
      <c r="O149" s="31" t="s">
        <v>44</v>
      </c>
    </row>
    <row r="150" spans="1:15" x14ac:dyDescent="0.25">
      <c r="A150" s="31" t="s">
        <v>187</v>
      </c>
      <c r="B150">
        <v>44</v>
      </c>
      <c r="C150" s="31" t="s">
        <v>28</v>
      </c>
      <c r="D150" s="31" t="s">
        <v>40</v>
      </c>
      <c r="E150" s="31" t="s">
        <v>33</v>
      </c>
      <c r="F150">
        <v>84093</v>
      </c>
      <c r="G150">
        <v>4</v>
      </c>
      <c r="H150">
        <v>5</v>
      </c>
      <c r="I150">
        <v>3</v>
      </c>
      <c r="J150" s="31" t="s">
        <v>19</v>
      </c>
      <c r="K150">
        <v>4</v>
      </c>
      <c r="L150" s="31" t="s">
        <v>19</v>
      </c>
      <c r="M150" s="31" t="s">
        <v>30</v>
      </c>
      <c r="N150">
        <v>52</v>
      </c>
      <c r="O150" s="31" t="s">
        <v>36</v>
      </c>
    </row>
    <row r="151" spans="1:15" x14ac:dyDescent="0.25">
      <c r="A151" s="31" t="s">
        <v>188</v>
      </c>
      <c r="B151">
        <v>56</v>
      </c>
      <c r="C151" s="31" t="s">
        <v>28</v>
      </c>
      <c r="D151" s="31" t="s">
        <v>51</v>
      </c>
      <c r="E151" s="31" t="s">
        <v>41</v>
      </c>
      <c r="F151">
        <v>96966</v>
      </c>
      <c r="G151">
        <v>5</v>
      </c>
      <c r="H151">
        <v>4</v>
      </c>
      <c r="I151">
        <v>5</v>
      </c>
      <c r="J151" s="31" t="s">
        <v>19</v>
      </c>
      <c r="K151">
        <v>1</v>
      </c>
      <c r="L151" s="31" t="s">
        <v>19</v>
      </c>
      <c r="M151" s="31" t="s">
        <v>21</v>
      </c>
      <c r="N151">
        <v>47</v>
      </c>
      <c r="O151" s="31" t="s">
        <v>42</v>
      </c>
    </row>
    <row r="152" spans="1:15" x14ac:dyDescent="0.25">
      <c r="A152" s="31" t="s">
        <v>189</v>
      </c>
      <c r="B152">
        <v>54</v>
      </c>
      <c r="C152" s="31" t="s">
        <v>28</v>
      </c>
      <c r="D152" s="31" t="s">
        <v>51</v>
      </c>
      <c r="E152" s="31" t="s">
        <v>25</v>
      </c>
      <c r="F152">
        <v>85568</v>
      </c>
      <c r="G152">
        <v>2</v>
      </c>
      <c r="H152">
        <v>3</v>
      </c>
      <c r="I152">
        <v>5</v>
      </c>
      <c r="J152" s="31" t="s">
        <v>20</v>
      </c>
      <c r="K152">
        <v>5</v>
      </c>
      <c r="L152" s="31" t="s">
        <v>20</v>
      </c>
      <c r="M152" s="31" t="s">
        <v>26</v>
      </c>
      <c r="N152">
        <v>43</v>
      </c>
      <c r="O152" s="31" t="s">
        <v>31</v>
      </c>
    </row>
    <row r="153" spans="1:15" x14ac:dyDescent="0.25">
      <c r="A153" s="31" t="s">
        <v>190</v>
      </c>
      <c r="B153">
        <v>42</v>
      </c>
      <c r="C153" s="31" t="s">
        <v>28</v>
      </c>
      <c r="D153" s="31" t="s">
        <v>17</v>
      </c>
      <c r="E153" s="31" t="s">
        <v>25</v>
      </c>
      <c r="F153">
        <v>57294</v>
      </c>
      <c r="G153">
        <v>3</v>
      </c>
      <c r="H153">
        <v>1</v>
      </c>
      <c r="I153">
        <v>3</v>
      </c>
      <c r="J153" s="31" t="s">
        <v>20</v>
      </c>
      <c r="K153">
        <v>3</v>
      </c>
      <c r="L153" s="31" t="s">
        <v>20</v>
      </c>
      <c r="M153" s="31" t="s">
        <v>26</v>
      </c>
      <c r="N153">
        <v>44</v>
      </c>
      <c r="O153" s="31" t="s">
        <v>22</v>
      </c>
    </row>
    <row r="154" spans="1:15" x14ac:dyDescent="0.25">
      <c r="A154" s="31" t="s">
        <v>191</v>
      </c>
      <c r="B154">
        <v>51</v>
      </c>
      <c r="C154" s="31" t="s">
        <v>28</v>
      </c>
      <c r="D154" s="31" t="s">
        <v>17</v>
      </c>
      <c r="E154" s="31" t="s">
        <v>25</v>
      </c>
      <c r="F154">
        <v>93711</v>
      </c>
      <c r="G154">
        <v>2</v>
      </c>
      <c r="H154">
        <v>1</v>
      </c>
      <c r="I154">
        <v>5</v>
      </c>
      <c r="J154" s="31" t="s">
        <v>20</v>
      </c>
      <c r="K154">
        <v>5</v>
      </c>
      <c r="L154" s="31" t="s">
        <v>20</v>
      </c>
      <c r="M154" s="31" t="s">
        <v>21</v>
      </c>
      <c r="N154">
        <v>36</v>
      </c>
      <c r="O154" s="31" t="s">
        <v>22</v>
      </c>
    </row>
    <row r="155" spans="1:15" x14ac:dyDescent="0.25">
      <c r="A155" s="31" t="s">
        <v>192</v>
      </c>
      <c r="B155">
        <v>57</v>
      </c>
      <c r="C155" s="31" t="s">
        <v>16</v>
      </c>
      <c r="D155" s="31" t="s">
        <v>51</v>
      </c>
      <c r="E155" s="31" t="s">
        <v>35</v>
      </c>
      <c r="F155">
        <v>75807</v>
      </c>
      <c r="G155">
        <v>3</v>
      </c>
      <c r="H155">
        <v>4</v>
      </c>
      <c r="I155">
        <v>2</v>
      </c>
      <c r="J155" s="31" t="s">
        <v>20</v>
      </c>
      <c r="K155">
        <v>6</v>
      </c>
      <c r="L155" s="31" t="s">
        <v>20</v>
      </c>
      <c r="M155" s="31" t="s">
        <v>26</v>
      </c>
      <c r="N155">
        <v>65</v>
      </c>
      <c r="O155" s="31" t="s">
        <v>22</v>
      </c>
    </row>
    <row r="156" spans="1:15" x14ac:dyDescent="0.25">
      <c r="A156" s="31" t="s">
        <v>193</v>
      </c>
      <c r="B156">
        <v>29</v>
      </c>
      <c r="C156" s="31" t="s">
        <v>16</v>
      </c>
      <c r="D156" s="31" t="s">
        <v>24</v>
      </c>
      <c r="E156" s="31" t="s">
        <v>18</v>
      </c>
      <c r="F156">
        <v>104799</v>
      </c>
      <c r="G156">
        <v>4</v>
      </c>
      <c r="H156">
        <v>5</v>
      </c>
      <c r="I156">
        <v>4</v>
      </c>
      <c r="J156" s="31" t="s">
        <v>20</v>
      </c>
      <c r="K156">
        <v>5</v>
      </c>
      <c r="L156" s="31" t="s">
        <v>20</v>
      </c>
      <c r="M156" s="31" t="s">
        <v>26</v>
      </c>
      <c r="N156">
        <v>48</v>
      </c>
      <c r="O156" s="31" t="s">
        <v>31</v>
      </c>
    </row>
    <row r="157" spans="1:15" x14ac:dyDescent="0.25">
      <c r="A157" s="31" t="s">
        <v>194</v>
      </c>
      <c r="B157">
        <v>43</v>
      </c>
      <c r="C157" s="31" t="s">
        <v>28</v>
      </c>
      <c r="D157" s="31" t="s">
        <v>24</v>
      </c>
      <c r="E157" s="31" t="s">
        <v>33</v>
      </c>
      <c r="F157">
        <v>43200</v>
      </c>
      <c r="G157">
        <v>2</v>
      </c>
      <c r="H157">
        <v>3</v>
      </c>
      <c r="I157">
        <v>5</v>
      </c>
      <c r="J157" s="31" t="s">
        <v>20</v>
      </c>
      <c r="K157">
        <v>7</v>
      </c>
      <c r="L157" s="31" t="s">
        <v>20</v>
      </c>
      <c r="M157" s="31" t="s">
        <v>30</v>
      </c>
      <c r="N157">
        <v>31</v>
      </c>
      <c r="O157" s="31" t="s">
        <v>42</v>
      </c>
    </row>
    <row r="158" spans="1:15" x14ac:dyDescent="0.25">
      <c r="A158" s="31" t="s">
        <v>195</v>
      </c>
      <c r="B158">
        <v>41</v>
      </c>
      <c r="C158" s="31" t="s">
        <v>28</v>
      </c>
      <c r="D158" s="31" t="s">
        <v>29</v>
      </c>
      <c r="E158" s="31" t="s">
        <v>25</v>
      </c>
      <c r="F158">
        <v>112589</v>
      </c>
      <c r="G158">
        <v>3</v>
      </c>
      <c r="H158">
        <v>3</v>
      </c>
      <c r="I158">
        <v>1</v>
      </c>
      <c r="J158" s="31" t="s">
        <v>20</v>
      </c>
      <c r="K158">
        <v>12</v>
      </c>
      <c r="L158" s="31" t="s">
        <v>20</v>
      </c>
      <c r="M158" s="31" t="s">
        <v>21</v>
      </c>
      <c r="N158">
        <v>42</v>
      </c>
      <c r="O158" s="31" t="s">
        <v>22</v>
      </c>
    </row>
    <row r="159" spans="1:15" x14ac:dyDescent="0.25">
      <c r="A159" s="31" t="s">
        <v>196</v>
      </c>
      <c r="B159">
        <v>39</v>
      </c>
      <c r="C159" s="31" t="s">
        <v>16</v>
      </c>
      <c r="D159" s="31" t="s">
        <v>29</v>
      </c>
      <c r="E159" s="31" t="s">
        <v>33</v>
      </c>
      <c r="F159">
        <v>103979</v>
      </c>
      <c r="G159">
        <v>3</v>
      </c>
      <c r="H159">
        <v>4</v>
      </c>
      <c r="I159">
        <v>2</v>
      </c>
      <c r="J159" s="31" t="s">
        <v>19</v>
      </c>
      <c r="K159">
        <v>17</v>
      </c>
      <c r="L159" s="31" t="s">
        <v>20</v>
      </c>
      <c r="M159" s="31" t="s">
        <v>26</v>
      </c>
      <c r="N159">
        <v>39</v>
      </c>
      <c r="O159" s="31" t="s">
        <v>44</v>
      </c>
    </row>
    <row r="160" spans="1:15" x14ac:dyDescent="0.25">
      <c r="A160" s="31" t="s">
        <v>197</v>
      </c>
      <c r="B160">
        <v>27</v>
      </c>
      <c r="C160" s="31" t="s">
        <v>16</v>
      </c>
      <c r="D160" s="31" t="s">
        <v>51</v>
      </c>
      <c r="E160" s="31" t="s">
        <v>35</v>
      </c>
      <c r="F160">
        <v>105796</v>
      </c>
      <c r="G160">
        <v>5</v>
      </c>
      <c r="H160">
        <v>2</v>
      </c>
      <c r="I160">
        <v>2</v>
      </c>
      <c r="J160" s="31" t="s">
        <v>19</v>
      </c>
      <c r="K160">
        <v>3</v>
      </c>
      <c r="L160" s="31" t="s">
        <v>20</v>
      </c>
      <c r="M160" s="31" t="s">
        <v>30</v>
      </c>
      <c r="N160">
        <v>65</v>
      </c>
      <c r="O160" s="31" t="s">
        <v>22</v>
      </c>
    </row>
    <row r="161" spans="1:15" x14ac:dyDescent="0.25">
      <c r="A161" s="31" t="s">
        <v>198</v>
      </c>
      <c r="B161">
        <v>29</v>
      </c>
      <c r="C161" s="31" t="s">
        <v>16</v>
      </c>
      <c r="D161" s="31" t="s">
        <v>24</v>
      </c>
      <c r="E161" s="31" t="s">
        <v>41</v>
      </c>
      <c r="F161">
        <v>71334</v>
      </c>
      <c r="G161">
        <v>4</v>
      </c>
      <c r="H161">
        <v>4</v>
      </c>
      <c r="I161">
        <v>2</v>
      </c>
      <c r="J161" s="31" t="s">
        <v>20</v>
      </c>
      <c r="K161">
        <v>10</v>
      </c>
      <c r="L161" s="31" t="s">
        <v>20</v>
      </c>
      <c r="M161" s="31" t="s">
        <v>26</v>
      </c>
      <c r="N161">
        <v>12</v>
      </c>
      <c r="O161" s="31" t="s">
        <v>22</v>
      </c>
    </row>
    <row r="162" spans="1:15" x14ac:dyDescent="0.25">
      <c r="A162" s="31" t="s">
        <v>199</v>
      </c>
      <c r="B162">
        <v>57</v>
      </c>
      <c r="C162" s="31" t="s">
        <v>16</v>
      </c>
      <c r="D162" s="31" t="s">
        <v>24</v>
      </c>
      <c r="E162" s="31" t="s">
        <v>38</v>
      </c>
      <c r="F162">
        <v>112780</v>
      </c>
      <c r="G162">
        <v>1</v>
      </c>
      <c r="H162">
        <v>2</v>
      </c>
      <c r="I162">
        <v>4</v>
      </c>
      <c r="J162" s="31" t="s">
        <v>19</v>
      </c>
      <c r="K162">
        <v>1</v>
      </c>
      <c r="L162" s="31" t="s">
        <v>20</v>
      </c>
      <c r="M162" s="31" t="s">
        <v>30</v>
      </c>
      <c r="N162">
        <v>28</v>
      </c>
      <c r="O162" s="31" t="s">
        <v>36</v>
      </c>
    </row>
    <row r="163" spans="1:15" x14ac:dyDescent="0.25">
      <c r="A163" s="31" t="s">
        <v>200</v>
      </c>
      <c r="B163">
        <v>23</v>
      </c>
      <c r="C163" s="31" t="s">
        <v>16</v>
      </c>
      <c r="D163" s="31" t="s">
        <v>29</v>
      </c>
      <c r="E163" s="31" t="s">
        <v>25</v>
      </c>
      <c r="F163">
        <v>97007</v>
      </c>
      <c r="G163">
        <v>1</v>
      </c>
      <c r="H163">
        <v>3</v>
      </c>
      <c r="I163">
        <v>3</v>
      </c>
      <c r="J163" s="31" t="s">
        <v>20</v>
      </c>
      <c r="K163">
        <v>20</v>
      </c>
      <c r="L163" s="31" t="s">
        <v>20</v>
      </c>
      <c r="M163" s="31" t="s">
        <v>21</v>
      </c>
      <c r="N163">
        <v>69</v>
      </c>
      <c r="O163" s="31" t="s">
        <v>42</v>
      </c>
    </row>
    <row r="164" spans="1:15" x14ac:dyDescent="0.25">
      <c r="A164" s="31" t="s">
        <v>201</v>
      </c>
      <c r="B164">
        <v>38</v>
      </c>
      <c r="C164" s="31" t="s">
        <v>16</v>
      </c>
      <c r="D164" s="31" t="s">
        <v>40</v>
      </c>
      <c r="E164" s="31" t="s">
        <v>18</v>
      </c>
      <c r="F164">
        <v>39298</v>
      </c>
      <c r="G164">
        <v>4</v>
      </c>
      <c r="H164">
        <v>3</v>
      </c>
      <c r="I164">
        <v>2</v>
      </c>
      <c r="J164" s="31" t="s">
        <v>19</v>
      </c>
      <c r="K164">
        <v>10</v>
      </c>
      <c r="L164" s="31" t="s">
        <v>20</v>
      </c>
      <c r="M164" s="31" t="s">
        <v>26</v>
      </c>
      <c r="N164">
        <v>29</v>
      </c>
      <c r="O164" s="31" t="s">
        <v>44</v>
      </c>
    </row>
    <row r="165" spans="1:15" x14ac:dyDescent="0.25">
      <c r="A165" s="31" t="s">
        <v>202</v>
      </c>
      <c r="B165">
        <v>46</v>
      </c>
      <c r="C165" s="31" t="s">
        <v>28</v>
      </c>
      <c r="D165" s="31" t="s">
        <v>24</v>
      </c>
      <c r="E165" s="31" t="s">
        <v>18</v>
      </c>
      <c r="F165">
        <v>29368</v>
      </c>
      <c r="G165">
        <v>4</v>
      </c>
      <c r="H165">
        <v>1</v>
      </c>
      <c r="I165">
        <v>2</v>
      </c>
      <c r="J165" s="31" t="s">
        <v>19</v>
      </c>
      <c r="K165">
        <v>15</v>
      </c>
      <c r="L165" s="31" t="s">
        <v>20</v>
      </c>
      <c r="M165" s="31" t="s">
        <v>21</v>
      </c>
      <c r="N165">
        <v>5</v>
      </c>
      <c r="O165" s="31" t="s">
        <v>36</v>
      </c>
    </row>
    <row r="166" spans="1:15" x14ac:dyDescent="0.25">
      <c r="A166" s="31" t="s">
        <v>203</v>
      </c>
      <c r="B166">
        <v>45</v>
      </c>
      <c r="C166" s="31" t="s">
        <v>16</v>
      </c>
      <c r="D166" s="31" t="s">
        <v>49</v>
      </c>
      <c r="E166" s="31" t="s">
        <v>18</v>
      </c>
      <c r="F166">
        <v>61204</v>
      </c>
      <c r="G166">
        <v>3</v>
      </c>
      <c r="H166">
        <v>5</v>
      </c>
      <c r="I166">
        <v>5</v>
      </c>
      <c r="J166" s="31" t="s">
        <v>19</v>
      </c>
      <c r="K166">
        <v>8</v>
      </c>
      <c r="L166" s="31" t="s">
        <v>20</v>
      </c>
      <c r="M166" s="31" t="s">
        <v>26</v>
      </c>
      <c r="N166">
        <v>35</v>
      </c>
      <c r="O166" s="31" t="s">
        <v>22</v>
      </c>
    </row>
    <row r="167" spans="1:15" x14ac:dyDescent="0.25">
      <c r="A167" s="31" t="s">
        <v>204</v>
      </c>
      <c r="B167">
        <v>28</v>
      </c>
      <c r="C167" s="31" t="s">
        <v>28</v>
      </c>
      <c r="D167" s="31" t="s">
        <v>29</v>
      </c>
      <c r="E167" s="31" t="s">
        <v>41</v>
      </c>
      <c r="F167">
        <v>71138</v>
      </c>
      <c r="G167">
        <v>5</v>
      </c>
      <c r="H167">
        <v>3</v>
      </c>
      <c r="I167">
        <v>1</v>
      </c>
      <c r="J167" s="31" t="s">
        <v>20</v>
      </c>
      <c r="K167">
        <v>11</v>
      </c>
      <c r="L167" s="31" t="s">
        <v>19</v>
      </c>
      <c r="M167" s="31" t="s">
        <v>21</v>
      </c>
      <c r="N167">
        <v>22</v>
      </c>
      <c r="O167" s="31" t="s">
        <v>42</v>
      </c>
    </row>
    <row r="168" spans="1:15" x14ac:dyDescent="0.25">
      <c r="A168" s="31" t="s">
        <v>205</v>
      </c>
      <c r="B168">
        <v>30</v>
      </c>
      <c r="C168" s="31" t="s">
        <v>28</v>
      </c>
      <c r="D168" s="31" t="s">
        <v>17</v>
      </c>
      <c r="E168" s="31" t="s">
        <v>25</v>
      </c>
      <c r="F168">
        <v>66971</v>
      </c>
      <c r="G168">
        <v>4</v>
      </c>
      <c r="H168">
        <v>5</v>
      </c>
      <c r="I168">
        <v>4</v>
      </c>
      <c r="J168" s="31" t="s">
        <v>19</v>
      </c>
      <c r="K168">
        <v>7</v>
      </c>
      <c r="L168" s="31" t="s">
        <v>19</v>
      </c>
      <c r="M168" s="31" t="s">
        <v>26</v>
      </c>
      <c r="N168">
        <v>62</v>
      </c>
      <c r="O168" s="31" t="s">
        <v>31</v>
      </c>
    </row>
    <row r="169" spans="1:15" x14ac:dyDescent="0.25">
      <c r="A169" s="31" t="s">
        <v>206</v>
      </c>
      <c r="B169">
        <v>44</v>
      </c>
      <c r="C169" s="31" t="s">
        <v>16</v>
      </c>
      <c r="D169" s="31" t="s">
        <v>24</v>
      </c>
      <c r="E169" s="31" t="s">
        <v>35</v>
      </c>
      <c r="F169">
        <v>26094</v>
      </c>
      <c r="G169">
        <v>5</v>
      </c>
      <c r="H169">
        <v>5</v>
      </c>
      <c r="I169">
        <v>3</v>
      </c>
      <c r="J169" s="31" t="s">
        <v>19</v>
      </c>
      <c r="K169">
        <v>5</v>
      </c>
      <c r="L169" s="31" t="s">
        <v>20</v>
      </c>
      <c r="M169" s="31" t="s">
        <v>26</v>
      </c>
      <c r="N169">
        <v>61</v>
      </c>
      <c r="O169" s="31" t="s">
        <v>22</v>
      </c>
    </row>
    <row r="170" spans="1:15" x14ac:dyDescent="0.25">
      <c r="A170" s="31" t="s">
        <v>207</v>
      </c>
      <c r="B170">
        <v>34</v>
      </c>
      <c r="C170" s="31" t="s">
        <v>28</v>
      </c>
      <c r="D170" s="31" t="s">
        <v>40</v>
      </c>
      <c r="E170" s="31" t="s">
        <v>25</v>
      </c>
      <c r="F170">
        <v>76390</v>
      </c>
      <c r="G170">
        <v>1</v>
      </c>
      <c r="H170">
        <v>4</v>
      </c>
      <c r="I170">
        <v>2</v>
      </c>
      <c r="J170" s="31" t="s">
        <v>20</v>
      </c>
      <c r="K170">
        <v>14</v>
      </c>
      <c r="L170" s="31" t="s">
        <v>19</v>
      </c>
      <c r="M170" s="31" t="s">
        <v>26</v>
      </c>
      <c r="N170">
        <v>64</v>
      </c>
      <c r="O170" s="31" t="s">
        <v>36</v>
      </c>
    </row>
    <row r="171" spans="1:15" x14ac:dyDescent="0.25">
      <c r="A171" s="31" t="s">
        <v>208</v>
      </c>
      <c r="B171">
        <v>22</v>
      </c>
      <c r="C171" s="31" t="s">
        <v>28</v>
      </c>
      <c r="D171" s="31" t="s">
        <v>29</v>
      </c>
      <c r="E171" s="31" t="s">
        <v>35</v>
      </c>
      <c r="F171">
        <v>115754</v>
      </c>
      <c r="G171">
        <v>2</v>
      </c>
      <c r="H171">
        <v>5</v>
      </c>
      <c r="I171">
        <v>1</v>
      </c>
      <c r="J171" s="31" t="s">
        <v>19</v>
      </c>
      <c r="K171">
        <v>13</v>
      </c>
      <c r="L171" s="31" t="s">
        <v>20</v>
      </c>
      <c r="M171" s="31" t="s">
        <v>26</v>
      </c>
      <c r="N171">
        <v>13</v>
      </c>
      <c r="O171" s="31" t="s">
        <v>31</v>
      </c>
    </row>
    <row r="172" spans="1:15" x14ac:dyDescent="0.25">
      <c r="A172" s="31" t="s">
        <v>209</v>
      </c>
      <c r="B172">
        <v>24</v>
      </c>
      <c r="C172" s="31" t="s">
        <v>16</v>
      </c>
      <c r="D172" s="31" t="s">
        <v>49</v>
      </c>
      <c r="E172" s="31" t="s">
        <v>35</v>
      </c>
      <c r="F172">
        <v>55629</v>
      </c>
      <c r="G172">
        <v>4</v>
      </c>
      <c r="H172">
        <v>2</v>
      </c>
      <c r="I172">
        <v>2</v>
      </c>
      <c r="J172" s="31" t="s">
        <v>20</v>
      </c>
      <c r="K172">
        <v>11</v>
      </c>
      <c r="L172" s="31" t="s">
        <v>20</v>
      </c>
      <c r="M172" s="31" t="s">
        <v>30</v>
      </c>
      <c r="N172">
        <v>53</v>
      </c>
      <c r="O172" s="31" t="s">
        <v>42</v>
      </c>
    </row>
    <row r="173" spans="1:15" x14ac:dyDescent="0.25">
      <c r="A173" s="31" t="s">
        <v>210</v>
      </c>
      <c r="B173">
        <v>26</v>
      </c>
      <c r="C173" s="31" t="s">
        <v>16</v>
      </c>
      <c r="D173" s="31" t="s">
        <v>17</v>
      </c>
      <c r="E173" s="31" t="s">
        <v>18</v>
      </c>
      <c r="F173">
        <v>68925</v>
      </c>
      <c r="G173">
        <v>2</v>
      </c>
      <c r="H173">
        <v>5</v>
      </c>
      <c r="I173">
        <v>4</v>
      </c>
      <c r="J173" s="31" t="s">
        <v>19</v>
      </c>
      <c r="K173">
        <v>7</v>
      </c>
      <c r="L173" s="31" t="s">
        <v>19</v>
      </c>
      <c r="M173" s="31" t="s">
        <v>21</v>
      </c>
      <c r="N173">
        <v>43</v>
      </c>
      <c r="O173" s="31" t="s">
        <v>42</v>
      </c>
    </row>
    <row r="174" spans="1:15" x14ac:dyDescent="0.25">
      <c r="A174" s="31" t="s">
        <v>211</v>
      </c>
      <c r="B174">
        <v>55</v>
      </c>
      <c r="C174" s="31" t="s">
        <v>28</v>
      </c>
      <c r="D174" s="31" t="s">
        <v>24</v>
      </c>
      <c r="E174" s="31" t="s">
        <v>33</v>
      </c>
      <c r="F174">
        <v>48102</v>
      </c>
      <c r="G174">
        <v>2</v>
      </c>
      <c r="H174">
        <v>4</v>
      </c>
      <c r="I174">
        <v>3</v>
      </c>
      <c r="J174" s="31" t="s">
        <v>19</v>
      </c>
      <c r="K174">
        <v>8</v>
      </c>
      <c r="L174" s="31" t="s">
        <v>19</v>
      </c>
      <c r="M174" s="31" t="s">
        <v>26</v>
      </c>
      <c r="N174">
        <v>19</v>
      </c>
      <c r="O174" s="31" t="s">
        <v>22</v>
      </c>
    </row>
    <row r="175" spans="1:15" x14ac:dyDescent="0.25">
      <c r="A175" s="31" t="s">
        <v>212</v>
      </c>
      <c r="B175">
        <v>47</v>
      </c>
      <c r="C175" s="31" t="s">
        <v>16</v>
      </c>
      <c r="D175" s="31" t="s">
        <v>51</v>
      </c>
      <c r="E175" s="31" t="s">
        <v>41</v>
      </c>
      <c r="F175">
        <v>26819</v>
      </c>
      <c r="G175">
        <v>1</v>
      </c>
      <c r="H175">
        <v>5</v>
      </c>
      <c r="I175">
        <v>1</v>
      </c>
      <c r="J175" s="31" t="s">
        <v>20</v>
      </c>
      <c r="K175">
        <v>19</v>
      </c>
      <c r="L175" s="31" t="s">
        <v>19</v>
      </c>
      <c r="M175" s="31" t="s">
        <v>21</v>
      </c>
      <c r="N175">
        <v>10</v>
      </c>
      <c r="O175" s="31" t="s">
        <v>42</v>
      </c>
    </row>
    <row r="176" spans="1:15" x14ac:dyDescent="0.25">
      <c r="A176" s="31" t="s">
        <v>213</v>
      </c>
      <c r="B176">
        <v>49</v>
      </c>
      <c r="C176" s="31" t="s">
        <v>16</v>
      </c>
      <c r="D176" s="31" t="s">
        <v>24</v>
      </c>
      <c r="E176" s="31" t="s">
        <v>41</v>
      </c>
      <c r="F176">
        <v>116878</v>
      </c>
      <c r="G176">
        <v>1</v>
      </c>
      <c r="H176">
        <v>2</v>
      </c>
      <c r="I176">
        <v>5</v>
      </c>
      <c r="J176" s="31" t="s">
        <v>20</v>
      </c>
      <c r="K176">
        <v>7</v>
      </c>
      <c r="L176" s="31" t="s">
        <v>20</v>
      </c>
      <c r="M176" s="31" t="s">
        <v>26</v>
      </c>
      <c r="N176">
        <v>46</v>
      </c>
      <c r="O176" s="31" t="s">
        <v>44</v>
      </c>
    </row>
    <row r="177" spans="1:15" x14ac:dyDescent="0.25">
      <c r="A177" s="31" t="s">
        <v>214</v>
      </c>
      <c r="B177">
        <v>40</v>
      </c>
      <c r="C177" s="31" t="s">
        <v>16</v>
      </c>
      <c r="D177" s="31" t="s">
        <v>17</v>
      </c>
      <c r="E177" s="31" t="s">
        <v>25</v>
      </c>
      <c r="F177">
        <v>46972</v>
      </c>
      <c r="G177">
        <v>3</v>
      </c>
      <c r="H177">
        <v>3</v>
      </c>
      <c r="I177">
        <v>3</v>
      </c>
      <c r="J177" s="31" t="s">
        <v>19</v>
      </c>
      <c r="K177">
        <v>17</v>
      </c>
      <c r="L177" s="31" t="s">
        <v>19</v>
      </c>
      <c r="M177" s="31" t="s">
        <v>26</v>
      </c>
      <c r="N177">
        <v>59</v>
      </c>
      <c r="O177" s="31" t="s">
        <v>31</v>
      </c>
    </row>
    <row r="178" spans="1:15" x14ac:dyDescent="0.25">
      <c r="A178" s="31" t="s">
        <v>215</v>
      </c>
      <c r="B178">
        <v>52</v>
      </c>
      <c r="C178" s="31" t="s">
        <v>16</v>
      </c>
      <c r="D178" s="31" t="s">
        <v>29</v>
      </c>
      <c r="E178" s="31" t="s">
        <v>38</v>
      </c>
      <c r="F178">
        <v>105994</v>
      </c>
      <c r="G178">
        <v>4</v>
      </c>
      <c r="H178">
        <v>5</v>
      </c>
      <c r="I178">
        <v>3</v>
      </c>
      <c r="J178" s="31" t="s">
        <v>20</v>
      </c>
      <c r="K178">
        <v>13</v>
      </c>
      <c r="L178" s="31" t="s">
        <v>19</v>
      </c>
      <c r="M178" s="31" t="s">
        <v>30</v>
      </c>
      <c r="N178">
        <v>53</v>
      </c>
      <c r="O178" s="31" t="s">
        <v>44</v>
      </c>
    </row>
    <row r="179" spans="1:15" x14ac:dyDescent="0.25">
      <c r="A179" s="31" t="s">
        <v>216</v>
      </c>
      <c r="B179">
        <v>55</v>
      </c>
      <c r="C179" s="31" t="s">
        <v>28</v>
      </c>
      <c r="D179" s="31" t="s">
        <v>51</v>
      </c>
      <c r="E179" s="31" t="s">
        <v>41</v>
      </c>
      <c r="F179">
        <v>57418</v>
      </c>
      <c r="G179">
        <v>2</v>
      </c>
      <c r="H179">
        <v>4</v>
      </c>
      <c r="I179">
        <v>1</v>
      </c>
      <c r="J179" s="31" t="s">
        <v>20</v>
      </c>
      <c r="K179">
        <v>13</v>
      </c>
      <c r="L179" s="31" t="s">
        <v>19</v>
      </c>
      <c r="M179" s="31" t="s">
        <v>30</v>
      </c>
      <c r="N179">
        <v>36</v>
      </c>
      <c r="O179" s="31" t="s">
        <v>36</v>
      </c>
    </row>
    <row r="180" spans="1:15" x14ac:dyDescent="0.25">
      <c r="A180" s="31" t="s">
        <v>217</v>
      </c>
      <c r="B180">
        <v>34</v>
      </c>
      <c r="C180" s="31" t="s">
        <v>28</v>
      </c>
      <c r="D180" s="31" t="s">
        <v>17</v>
      </c>
      <c r="E180" s="31" t="s">
        <v>35</v>
      </c>
      <c r="F180">
        <v>76954</v>
      </c>
      <c r="G180">
        <v>3</v>
      </c>
      <c r="H180">
        <v>1</v>
      </c>
      <c r="I180">
        <v>5</v>
      </c>
      <c r="J180" s="31" t="s">
        <v>19</v>
      </c>
      <c r="K180">
        <v>1</v>
      </c>
      <c r="L180" s="31" t="s">
        <v>20</v>
      </c>
      <c r="M180" s="31" t="s">
        <v>30</v>
      </c>
      <c r="N180">
        <v>10</v>
      </c>
      <c r="O180" s="31" t="s">
        <v>22</v>
      </c>
    </row>
    <row r="181" spans="1:15" x14ac:dyDescent="0.25">
      <c r="A181" s="31" t="s">
        <v>218</v>
      </c>
      <c r="B181">
        <v>33</v>
      </c>
      <c r="C181" s="31" t="s">
        <v>16</v>
      </c>
      <c r="D181" s="31" t="s">
        <v>49</v>
      </c>
      <c r="E181" s="31" t="s">
        <v>41</v>
      </c>
      <c r="F181">
        <v>61642</v>
      </c>
      <c r="G181">
        <v>3</v>
      </c>
      <c r="H181">
        <v>1</v>
      </c>
      <c r="I181">
        <v>2</v>
      </c>
      <c r="J181" s="31" t="s">
        <v>19</v>
      </c>
      <c r="K181">
        <v>3</v>
      </c>
      <c r="L181" s="31" t="s">
        <v>20</v>
      </c>
      <c r="M181" s="31" t="s">
        <v>21</v>
      </c>
      <c r="N181">
        <v>31</v>
      </c>
      <c r="O181" s="31" t="s">
        <v>42</v>
      </c>
    </row>
    <row r="182" spans="1:15" x14ac:dyDescent="0.25">
      <c r="A182" s="31" t="s">
        <v>219</v>
      </c>
      <c r="B182">
        <v>36</v>
      </c>
      <c r="C182" s="31" t="s">
        <v>28</v>
      </c>
      <c r="D182" s="31" t="s">
        <v>29</v>
      </c>
      <c r="E182" s="31" t="s">
        <v>33</v>
      </c>
      <c r="F182">
        <v>79112</v>
      </c>
      <c r="G182">
        <v>5</v>
      </c>
      <c r="H182">
        <v>3</v>
      </c>
      <c r="I182">
        <v>3</v>
      </c>
      <c r="J182" s="31" t="s">
        <v>20</v>
      </c>
      <c r="K182">
        <v>11</v>
      </c>
      <c r="L182" s="31" t="s">
        <v>20</v>
      </c>
      <c r="M182" s="31" t="s">
        <v>30</v>
      </c>
      <c r="N182">
        <v>17</v>
      </c>
      <c r="O182" s="31" t="s">
        <v>42</v>
      </c>
    </row>
    <row r="183" spans="1:15" x14ac:dyDescent="0.25">
      <c r="A183" s="31" t="s">
        <v>220</v>
      </c>
      <c r="B183">
        <v>41</v>
      </c>
      <c r="C183" s="31" t="s">
        <v>16</v>
      </c>
      <c r="D183" s="31" t="s">
        <v>29</v>
      </c>
      <c r="E183" s="31" t="s">
        <v>18</v>
      </c>
      <c r="F183">
        <v>72254</v>
      </c>
      <c r="G183">
        <v>1</v>
      </c>
      <c r="H183">
        <v>5</v>
      </c>
      <c r="I183">
        <v>2</v>
      </c>
      <c r="J183" s="31" t="s">
        <v>19</v>
      </c>
      <c r="K183">
        <v>0</v>
      </c>
      <c r="L183" s="31" t="s">
        <v>20</v>
      </c>
      <c r="M183" s="31" t="s">
        <v>26</v>
      </c>
      <c r="N183">
        <v>79</v>
      </c>
      <c r="O183" s="31" t="s">
        <v>31</v>
      </c>
    </row>
    <row r="184" spans="1:15" x14ac:dyDescent="0.25">
      <c r="A184" s="31" t="s">
        <v>221</v>
      </c>
      <c r="B184">
        <v>47</v>
      </c>
      <c r="C184" s="31" t="s">
        <v>28</v>
      </c>
      <c r="D184" s="31" t="s">
        <v>51</v>
      </c>
      <c r="E184" s="31" t="s">
        <v>41</v>
      </c>
      <c r="F184">
        <v>61236</v>
      </c>
      <c r="G184">
        <v>2</v>
      </c>
      <c r="H184">
        <v>4</v>
      </c>
      <c r="I184">
        <v>5</v>
      </c>
      <c r="J184" s="31" t="s">
        <v>19</v>
      </c>
      <c r="K184">
        <v>15</v>
      </c>
      <c r="L184" s="31" t="s">
        <v>20</v>
      </c>
      <c r="M184" s="31" t="s">
        <v>30</v>
      </c>
      <c r="N184">
        <v>67</v>
      </c>
      <c r="O184" s="31" t="s">
        <v>42</v>
      </c>
    </row>
    <row r="185" spans="1:15" x14ac:dyDescent="0.25">
      <c r="A185" s="31" t="s">
        <v>222</v>
      </c>
      <c r="B185">
        <v>50</v>
      </c>
      <c r="C185" s="31" t="s">
        <v>16</v>
      </c>
      <c r="D185" s="31" t="s">
        <v>17</v>
      </c>
      <c r="E185" s="31" t="s">
        <v>18</v>
      </c>
      <c r="F185">
        <v>68925</v>
      </c>
      <c r="G185">
        <v>2</v>
      </c>
      <c r="H185">
        <v>5</v>
      </c>
      <c r="I185">
        <v>4</v>
      </c>
      <c r="J185" s="31" t="s">
        <v>19</v>
      </c>
      <c r="K185">
        <v>17</v>
      </c>
      <c r="L185" s="31" t="s">
        <v>19</v>
      </c>
      <c r="M185" s="31" t="s">
        <v>26</v>
      </c>
      <c r="N185">
        <v>9</v>
      </c>
      <c r="O185" s="31" t="s">
        <v>22</v>
      </c>
    </row>
    <row r="186" spans="1:15" x14ac:dyDescent="0.25">
      <c r="A186" s="31" t="s">
        <v>223</v>
      </c>
      <c r="B186">
        <v>24</v>
      </c>
      <c r="C186" s="31" t="s">
        <v>16</v>
      </c>
      <c r="D186" s="31" t="s">
        <v>49</v>
      </c>
      <c r="E186" s="31" t="s">
        <v>41</v>
      </c>
      <c r="F186">
        <v>100667</v>
      </c>
      <c r="G186">
        <v>2</v>
      </c>
      <c r="H186">
        <v>1</v>
      </c>
      <c r="I186">
        <v>2</v>
      </c>
      <c r="J186" s="31" t="s">
        <v>19</v>
      </c>
      <c r="K186">
        <v>6</v>
      </c>
      <c r="L186" s="31" t="s">
        <v>20</v>
      </c>
      <c r="M186" s="31" t="s">
        <v>30</v>
      </c>
      <c r="N186">
        <v>12</v>
      </c>
      <c r="O186" s="31" t="s">
        <v>31</v>
      </c>
    </row>
    <row r="187" spans="1:15" x14ac:dyDescent="0.25">
      <c r="A187" s="31" t="s">
        <v>224</v>
      </c>
      <c r="B187">
        <v>51</v>
      </c>
      <c r="C187" s="31" t="s">
        <v>28</v>
      </c>
      <c r="D187" s="31" t="s">
        <v>40</v>
      </c>
      <c r="E187" s="31" t="s">
        <v>35</v>
      </c>
      <c r="F187">
        <v>87758</v>
      </c>
      <c r="G187">
        <v>5</v>
      </c>
      <c r="H187">
        <v>4</v>
      </c>
      <c r="I187">
        <v>1</v>
      </c>
      <c r="J187" s="31" t="s">
        <v>19</v>
      </c>
      <c r="K187">
        <v>16</v>
      </c>
      <c r="L187" s="31" t="s">
        <v>20</v>
      </c>
      <c r="M187" s="31" t="s">
        <v>26</v>
      </c>
      <c r="N187">
        <v>41</v>
      </c>
      <c r="O187" s="31" t="s">
        <v>22</v>
      </c>
    </row>
    <row r="188" spans="1:15" x14ac:dyDescent="0.25">
      <c r="A188" s="31" t="s">
        <v>225</v>
      </c>
      <c r="B188">
        <v>53</v>
      </c>
      <c r="C188" s="31" t="s">
        <v>28</v>
      </c>
      <c r="D188" s="31" t="s">
        <v>51</v>
      </c>
      <c r="E188" s="31" t="s">
        <v>35</v>
      </c>
      <c r="F188">
        <v>30624</v>
      </c>
      <c r="G188">
        <v>5</v>
      </c>
      <c r="H188">
        <v>2</v>
      </c>
      <c r="I188">
        <v>2</v>
      </c>
      <c r="J188" s="31" t="s">
        <v>19</v>
      </c>
      <c r="K188">
        <v>19</v>
      </c>
      <c r="L188" s="31" t="s">
        <v>20</v>
      </c>
      <c r="M188" s="31" t="s">
        <v>30</v>
      </c>
      <c r="N188">
        <v>39</v>
      </c>
      <c r="O188" s="31" t="s">
        <v>42</v>
      </c>
    </row>
    <row r="189" spans="1:15" x14ac:dyDescent="0.25">
      <c r="A189" s="31" t="s">
        <v>226</v>
      </c>
      <c r="B189">
        <v>26</v>
      </c>
      <c r="C189" s="31" t="s">
        <v>28</v>
      </c>
      <c r="D189" s="31" t="s">
        <v>49</v>
      </c>
      <c r="E189" s="31" t="s">
        <v>33</v>
      </c>
      <c r="F189">
        <v>92055</v>
      </c>
      <c r="G189">
        <v>2</v>
      </c>
      <c r="H189">
        <v>2</v>
      </c>
      <c r="I189">
        <v>3</v>
      </c>
      <c r="J189" s="31" t="s">
        <v>19</v>
      </c>
      <c r="K189">
        <v>20</v>
      </c>
      <c r="L189" s="31" t="s">
        <v>19</v>
      </c>
      <c r="M189" s="31" t="s">
        <v>21</v>
      </c>
      <c r="N189">
        <v>56</v>
      </c>
      <c r="O189" s="31" t="s">
        <v>42</v>
      </c>
    </row>
    <row r="190" spans="1:15" x14ac:dyDescent="0.25">
      <c r="A190" s="31" t="s">
        <v>227</v>
      </c>
      <c r="B190">
        <v>45</v>
      </c>
      <c r="C190" s="31" t="s">
        <v>28</v>
      </c>
      <c r="D190" s="31" t="s">
        <v>40</v>
      </c>
      <c r="E190" s="31" t="s">
        <v>38</v>
      </c>
      <c r="F190">
        <v>19238</v>
      </c>
      <c r="G190">
        <v>2</v>
      </c>
      <c r="H190">
        <v>1</v>
      </c>
      <c r="I190">
        <v>4</v>
      </c>
      <c r="J190" s="31" t="s">
        <v>20</v>
      </c>
      <c r="K190">
        <v>20</v>
      </c>
      <c r="L190" s="31" t="s">
        <v>20</v>
      </c>
      <c r="M190" s="31" t="s">
        <v>26</v>
      </c>
      <c r="N190">
        <v>17</v>
      </c>
      <c r="O190" s="31" t="s">
        <v>31</v>
      </c>
    </row>
    <row r="191" spans="1:15" x14ac:dyDescent="0.25">
      <c r="A191" s="31" t="s">
        <v>228</v>
      </c>
      <c r="B191">
        <v>23</v>
      </c>
      <c r="C191" s="31" t="s">
        <v>16</v>
      </c>
      <c r="D191" s="31" t="s">
        <v>51</v>
      </c>
      <c r="E191" s="31" t="s">
        <v>38</v>
      </c>
      <c r="F191">
        <v>92289</v>
      </c>
      <c r="G191">
        <v>4</v>
      </c>
      <c r="H191">
        <v>3</v>
      </c>
      <c r="I191">
        <v>1</v>
      </c>
      <c r="J191" s="31" t="s">
        <v>19</v>
      </c>
      <c r="K191">
        <v>8</v>
      </c>
      <c r="L191" s="31" t="s">
        <v>19</v>
      </c>
      <c r="M191" s="31" t="s">
        <v>21</v>
      </c>
      <c r="N191">
        <v>45</v>
      </c>
      <c r="O191" s="31" t="s">
        <v>22</v>
      </c>
    </row>
    <row r="192" spans="1:15" x14ac:dyDescent="0.25">
      <c r="A192" s="31" t="s">
        <v>229</v>
      </c>
      <c r="B192">
        <v>34</v>
      </c>
      <c r="C192" s="31" t="s">
        <v>16</v>
      </c>
      <c r="D192" s="31" t="s">
        <v>17</v>
      </c>
      <c r="E192" s="31" t="s">
        <v>33</v>
      </c>
      <c r="F192">
        <v>28084</v>
      </c>
      <c r="G192">
        <v>3</v>
      </c>
      <c r="H192">
        <v>2</v>
      </c>
      <c r="I192">
        <v>5</v>
      </c>
      <c r="J192" s="31" t="s">
        <v>19</v>
      </c>
      <c r="K192">
        <v>18</v>
      </c>
      <c r="L192" s="31" t="s">
        <v>20</v>
      </c>
      <c r="M192" s="31" t="s">
        <v>26</v>
      </c>
      <c r="N192">
        <v>74</v>
      </c>
      <c r="O192" s="31" t="s">
        <v>36</v>
      </c>
    </row>
    <row r="193" spans="1:15" x14ac:dyDescent="0.25">
      <c r="A193" s="31" t="s">
        <v>230</v>
      </c>
      <c r="B193">
        <v>45</v>
      </c>
      <c r="C193" s="31" t="s">
        <v>16</v>
      </c>
      <c r="D193" s="31" t="s">
        <v>17</v>
      </c>
      <c r="E193" s="31" t="s">
        <v>38</v>
      </c>
      <c r="F193">
        <v>68925</v>
      </c>
      <c r="G193">
        <v>5</v>
      </c>
      <c r="H193">
        <v>3</v>
      </c>
      <c r="I193">
        <v>1</v>
      </c>
      <c r="J193" s="31" t="s">
        <v>19</v>
      </c>
      <c r="K193">
        <v>13</v>
      </c>
      <c r="L193" s="31" t="s">
        <v>19</v>
      </c>
      <c r="M193" s="31" t="s">
        <v>21</v>
      </c>
      <c r="N193">
        <v>48</v>
      </c>
      <c r="O193" s="31" t="s">
        <v>31</v>
      </c>
    </row>
    <row r="194" spans="1:15" x14ac:dyDescent="0.25">
      <c r="A194" s="31" t="s">
        <v>231</v>
      </c>
      <c r="B194">
        <v>46</v>
      </c>
      <c r="C194" s="31" t="s">
        <v>28</v>
      </c>
      <c r="D194" s="31" t="s">
        <v>40</v>
      </c>
      <c r="E194" s="31" t="s">
        <v>38</v>
      </c>
      <c r="F194">
        <v>53825</v>
      </c>
      <c r="G194">
        <v>4</v>
      </c>
      <c r="H194">
        <v>4</v>
      </c>
      <c r="I194">
        <v>2</v>
      </c>
      <c r="J194" s="31" t="s">
        <v>20</v>
      </c>
      <c r="K194">
        <v>17</v>
      </c>
      <c r="L194" s="31" t="s">
        <v>20</v>
      </c>
      <c r="M194" s="31" t="s">
        <v>30</v>
      </c>
      <c r="N194">
        <v>28</v>
      </c>
      <c r="O194" s="31" t="s">
        <v>31</v>
      </c>
    </row>
    <row r="195" spans="1:15" x14ac:dyDescent="0.25">
      <c r="A195" s="31" t="s">
        <v>232</v>
      </c>
      <c r="B195">
        <v>45</v>
      </c>
      <c r="C195" s="31" t="s">
        <v>16</v>
      </c>
      <c r="D195" s="31" t="s">
        <v>24</v>
      </c>
      <c r="E195" s="31" t="s">
        <v>18</v>
      </c>
      <c r="F195">
        <v>50302</v>
      </c>
      <c r="G195">
        <v>1</v>
      </c>
      <c r="H195">
        <v>1</v>
      </c>
      <c r="I195">
        <v>3</v>
      </c>
      <c r="J195" s="31" t="s">
        <v>19</v>
      </c>
      <c r="K195">
        <v>12</v>
      </c>
      <c r="L195" s="31" t="s">
        <v>19</v>
      </c>
      <c r="M195" s="31" t="s">
        <v>26</v>
      </c>
      <c r="N195">
        <v>54</v>
      </c>
      <c r="O195" s="31" t="s">
        <v>36</v>
      </c>
    </row>
    <row r="196" spans="1:15" x14ac:dyDescent="0.25">
      <c r="A196" s="31" t="s">
        <v>233</v>
      </c>
      <c r="B196">
        <v>44</v>
      </c>
      <c r="C196" s="31" t="s">
        <v>16</v>
      </c>
      <c r="D196" s="31" t="s">
        <v>40</v>
      </c>
      <c r="E196" s="31" t="s">
        <v>35</v>
      </c>
      <c r="F196">
        <v>58405</v>
      </c>
      <c r="G196">
        <v>4</v>
      </c>
      <c r="H196">
        <v>3</v>
      </c>
      <c r="I196">
        <v>3</v>
      </c>
      <c r="J196" s="31" t="s">
        <v>19</v>
      </c>
      <c r="K196">
        <v>4</v>
      </c>
      <c r="L196" s="31" t="s">
        <v>19</v>
      </c>
      <c r="M196" s="31" t="s">
        <v>21</v>
      </c>
      <c r="N196">
        <v>60</v>
      </c>
      <c r="O196" s="31" t="s">
        <v>42</v>
      </c>
    </row>
    <row r="197" spans="1:15" x14ac:dyDescent="0.25">
      <c r="A197" s="31" t="s">
        <v>234</v>
      </c>
      <c r="B197">
        <v>56</v>
      </c>
      <c r="C197" s="31" t="s">
        <v>28</v>
      </c>
      <c r="D197" s="31" t="s">
        <v>40</v>
      </c>
      <c r="E197" s="31" t="s">
        <v>35</v>
      </c>
      <c r="F197">
        <v>29746</v>
      </c>
      <c r="G197">
        <v>3</v>
      </c>
      <c r="H197">
        <v>5</v>
      </c>
      <c r="I197">
        <v>1</v>
      </c>
      <c r="J197" s="31" t="s">
        <v>20</v>
      </c>
      <c r="K197">
        <v>12</v>
      </c>
      <c r="L197" s="31" t="s">
        <v>19</v>
      </c>
      <c r="M197" s="31" t="s">
        <v>30</v>
      </c>
      <c r="N197">
        <v>57</v>
      </c>
      <c r="O197" s="31" t="s">
        <v>42</v>
      </c>
    </row>
    <row r="198" spans="1:15" x14ac:dyDescent="0.25">
      <c r="A198" s="31" t="s">
        <v>235</v>
      </c>
      <c r="B198">
        <v>26</v>
      </c>
      <c r="C198" s="31" t="s">
        <v>16</v>
      </c>
      <c r="D198" s="31" t="s">
        <v>24</v>
      </c>
      <c r="E198" s="31" t="s">
        <v>562</v>
      </c>
      <c r="F198">
        <v>40227</v>
      </c>
      <c r="G198">
        <v>4</v>
      </c>
      <c r="H198">
        <v>2</v>
      </c>
      <c r="I198">
        <v>2</v>
      </c>
      <c r="J198" s="31" t="s">
        <v>20</v>
      </c>
      <c r="K198">
        <v>9</v>
      </c>
      <c r="L198" s="31" t="s">
        <v>20</v>
      </c>
      <c r="M198" s="31" t="s">
        <v>30</v>
      </c>
      <c r="N198">
        <v>23</v>
      </c>
      <c r="O198" s="31" t="s">
        <v>22</v>
      </c>
    </row>
    <row r="199" spans="1:15" x14ac:dyDescent="0.25">
      <c r="A199" s="31" t="s">
        <v>236</v>
      </c>
      <c r="B199">
        <v>31</v>
      </c>
      <c r="C199" s="31" t="s">
        <v>28</v>
      </c>
      <c r="D199" s="31" t="s">
        <v>29</v>
      </c>
      <c r="E199" s="31" t="s">
        <v>33</v>
      </c>
      <c r="F199">
        <v>57289</v>
      </c>
      <c r="G199">
        <v>4</v>
      </c>
      <c r="H199">
        <v>1</v>
      </c>
      <c r="I199">
        <v>3</v>
      </c>
      <c r="J199" s="31" t="s">
        <v>20</v>
      </c>
      <c r="K199">
        <v>7</v>
      </c>
      <c r="L199" s="31" t="s">
        <v>20</v>
      </c>
      <c r="M199" s="31" t="s">
        <v>26</v>
      </c>
      <c r="N199">
        <v>30</v>
      </c>
      <c r="O199" s="31" t="s">
        <v>42</v>
      </c>
    </row>
    <row r="200" spans="1:15" x14ac:dyDescent="0.25">
      <c r="A200" s="31" t="s">
        <v>237</v>
      </c>
      <c r="B200">
        <v>27</v>
      </c>
      <c r="C200" s="31" t="s">
        <v>16</v>
      </c>
      <c r="D200" s="31" t="s">
        <v>29</v>
      </c>
      <c r="E200" s="31" t="s">
        <v>35</v>
      </c>
      <c r="F200">
        <v>68925</v>
      </c>
      <c r="G200">
        <v>3</v>
      </c>
      <c r="H200">
        <v>5</v>
      </c>
      <c r="I200">
        <v>4</v>
      </c>
      <c r="J200" s="31" t="s">
        <v>20</v>
      </c>
      <c r="K200">
        <v>14</v>
      </c>
      <c r="L200" s="31" t="s">
        <v>20</v>
      </c>
      <c r="M200" s="31" t="s">
        <v>30</v>
      </c>
      <c r="N200">
        <v>22</v>
      </c>
      <c r="O200" s="31" t="s">
        <v>36</v>
      </c>
    </row>
    <row r="201" spans="1:15" x14ac:dyDescent="0.25">
      <c r="A201" s="31" t="s">
        <v>238</v>
      </c>
      <c r="B201">
        <v>41</v>
      </c>
      <c r="C201" s="31" t="s">
        <v>16</v>
      </c>
      <c r="D201" s="31" t="s">
        <v>49</v>
      </c>
      <c r="E201" s="31" t="s">
        <v>18</v>
      </c>
      <c r="F201">
        <v>41283</v>
      </c>
      <c r="G201">
        <v>4</v>
      </c>
      <c r="H201">
        <v>3</v>
      </c>
      <c r="I201">
        <v>3</v>
      </c>
      <c r="J201" s="31" t="s">
        <v>20</v>
      </c>
      <c r="K201">
        <v>18</v>
      </c>
      <c r="L201" s="31" t="s">
        <v>19</v>
      </c>
      <c r="M201" s="31" t="s">
        <v>30</v>
      </c>
      <c r="N201">
        <v>53</v>
      </c>
      <c r="O201" s="31" t="s">
        <v>36</v>
      </c>
    </row>
    <row r="202" spans="1:15" x14ac:dyDescent="0.25">
      <c r="A202" s="31" t="s">
        <v>239</v>
      </c>
      <c r="B202">
        <v>46</v>
      </c>
      <c r="C202" s="31" t="s">
        <v>28</v>
      </c>
      <c r="D202" s="31" t="s">
        <v>40</v>
      </c>
      <c r="E202" s="31" t="s">
        <v>25</v>
      </c>
      <c r="F202">
        <v>44188</v>
      </c>
      <c r="G202">
        <v>5</v>
      </c>
      <c r="H202">
        <v>5</v>
      </c>
      <c r="I202">
        <v>2</v>
      </c>
      <c r="J202" s="31" t="s">
        <v>19</v>
      </c>
      <c r="K202">
        <v>14</v>
      </c>
      <c r="L202" s="31" t="s">
        <v>19</v>
      </c>
      <c r="M202" s="31" t="s">
        <v>30</v>
      </c>
      <c r="N202">
        <v>42</v>
      </c>
      <c r="O202" s="31" t="s">
        <v>22</v>
      </c>
    </row>
    <row r="203" spans="1:15" x14ac:dyDescent="0.25">
      <c r="A203" s="31" t="s">
        <v>240</v>
      </c>
      <c r="B203">
        <v>47</v>
      </c>
      <c r="C203" s="31" t="s">
        <v>28</v>
      </c>
      <c r="D203" s="31" t="s">
        <v>51</v>
      </c>
      <c r="E203" s="31" t="s">
        <v>38</v>
      </c>
      <c r="F203">
        <v>57692</v>
      </c>
      <c r="G203">
        <v>2</v>
      </c>
      <c r="H203">
        <v>3</v>
      </c>
      <c r="I203">
        <v>2</v>
      </c>
      <c r="J203" s="31" t="s">
        <v>20</v>
      </c>
      <c r="K203">
        <v>12</v>
      </c>
      <c r="L203" s="31" t="s">
        <v>19</v>
      </c>
      <c r="M203" s="31" t="s">
        <v>30</v>
      </c>
      <c r="N203">
        <v>66</v>
      </c>
      <c r="O203" s="31" t="s">
        <v>31</v>
      </c>
    </row>
    <row r="204" spans="1:15" x14ac:dyDescent="0.25">
      <c r="A204" s="31" t="s">
        <v>241</v>
      </c>
      <c r="B204">
        <v>46</v>
      </c>
      <c r="C204" s="31" t="s">
        <v>28</v>
      </c>
      <c r="D204" s="31" t="s">
        <v>24</v>
      </c>
      <c r="E204" s="31" t="s">
        <v>35</v>
      </c>
      <c r="F204">
        <v>65124</v>
      </c>
      <c r="G204">
        <v>5</v>
      </c>
      <c r="H204">
        <v>5</v>
      </c>
      <c r="I204">
        <v>1</v>
      </c>
      <c r="J204" s="31" t="s">
        <v>19</v>
      </c>
      <c r="K204">
        <v>7</v>
      </c>
      <c r="L204" s="31" t="s">
        <v>20</v>
      </c>
      <c r="M204" s="31" t="s">
        <v>21</v>
      </c>
      <c r="N204">
        <v>10</v>
      </c>
      <c r="O204" s="31" t="s">
        <v>31</v>
      </c>
    </row>
    <row r="205" spans="1:15" x14ac:dyDescent="0.25">
      <c r="A205" s="31" t="s">
        <v>242</v>
      </c>
      <c r="B205">
        <v>46</v>
      </c>
      <c r="C205" s="31" t="s">
        <v>28</v>
      </c>
      <c r="D205" s="31" t="s">
        <v>49</v>
      </c>
      <c r="E205" s="31" t="s">
        <v>35</v>
      </c>
      <c r="F205">
        <v>19382</v>
      </c>
      <c r="G205">
        <v>1</v>
      </c>
      <c r="H205">
        <v>3</v>
      </c>
      <c r="I205">
        <v>2</v>
      </c>
      <c r="J205" s="31" t="s">
        <v>19</v>
      </c>
      <c r="K205">
        <v>14</v>
      </c>
      <c r="L205" s="31" t="s">
        <v>20</v>
      </c>
      <c r="M205" s="31" t="s">
        <v>30</v>
      </c>
      <c r="N205">
        <v>64</v>
      </c>
      <c r="O205" s="31" t="s">
        <v>31</v>
      </c>
    </row>
    <row r="206" spans="1:15" x14ac:dyDescent="0.25">
      <c r="A206" s="31" t="s">
        <v>243</v>
      </c>
      <c r="B206">
        <v>53</v>
      </c>
      <c r="C206" s="31" t="s">
        <v>16</v>
      </c>
      <c r="D206" s="31" t="s">
        <v>29</v>
      </c>
      <c r="E206" s="31" t="s">
        <v>35</v>
      </c>
      <c r="F206">
        <v>81277</v>
      </c>
      <c r="G206">
        <v>1</v>
      </c>
      <c r="H206">
        <v>3</v>
      </c>
      <c r="I206">
        <v>4</v>
      </c>
      <c r="J206" s="31" t="s">
        <v>19</v>
      </c>
      <c r="K206">
        <v>3</v>
      </c>
      <c r="L206" s="31" t="s">
        <v>19</v>
      </c>
      <c r="M206" s="31" t="s">
        <v>30</v>
      </c>
      <c r="N206">
        <v>44</v>
      </c>
      <c r="O206" s="31" t="s">
        <v>36</v>
      </c>
    </row>
    <row r="207" spans="1:15" x14ac:dyDescent="0.25">
      <c r="A207" s="31" t="s">
        <v>244</v>
      </c>
      <c r="B207">
        <v>50</v>
      </c>
      <c r="C207" s="31" t="s">
        <v>16</v>
      </c>
      <c r="D207" s="31" t="s">
        <v>24</v>
      </c>
      <c r="E207" s="31" t="s">
        <v>33</v>
      </c>
      <c r="F207">
        <v>63652</v>
      </c>
      <c r="G207">
        <v>4</v>
      </c>
      <c r="H207">
        <v>1</v>
      </c>
      <c r="I207">
        <v>4</v>
      </c>
      <c r="J207" s="31" t="s">
        <v>20</v>
      </c>
      <c r="K207">
        <v>10</v>
      </c>
      <c r="L207" s="31" t="s">
        <v>19</v>
      </c>
      <c r="M207" s="31" t="s">
        <v>30</v>
      </c>
      <c r="N207">
        <v>10</v>
      </c>
      <c r="O207" s="31" t="s">
        <v>22</v>
      </c>
    </row>
    <row r="208" spans="1:15" x14ac:dyDescent="0.25">
      <c r="A208" s="31" t="s">
        <v>245</v>
      </c>
      <c r="B208">
        <v>22</v>
      </c>
      <c r="C208" s="31" t="s">
        <v>28</v>
      </c>
      <c r="D208" s="31" t="s">
        <v>17</v>
      </c>
      <c r="E208" s="31" t="s">
        <v>35</v>
      </c>
      <c r="F208">
        <v>106754</v>
      </c>
      <c r="G208">
        <v>2</v>
      </c>
      <c r="H208">
        <v>2</v>
      </c>
      <c r="I208">
        <v>5</v>
      </c>
      <c r="J208" s="31" t="s">
        <v>19</v>
      </c>
      <c r="K208">
        <v>17</v>
      </c>
      <c r="L208" s="31" t="s">
        <v>19</v>
      </c>
      <c r="M208" s="31" t="s">
        <v>30</v>
      </c>
      <c r="N208">
        <v>76</v>
      </c>
      <c r="O208" s="31" t="s">
        <v>42</v>
      </c>
    </row>
    <row r="209" spans="1:15" x14ac:dyDescent="0.25">
      <c r="A209" s="31" t="s">
        <v>246</v>
      </c>
      <c r="B209">
        <v>50</v>
      </c>
      <c r="C209" s="31" t="s">
        <v>16</v>
      </c>
      <c r="D209" s="31" t="s">
        <v>49</v>
      </c>
      <c r="E209" s="31" t="s">
        <v>38</v>
      </c>
      <c r="F209">
        <v>42176</v>
      </c>
      <c r="G209">
        <v>2</v>
      </c>
      <c r="H209">
        <v>4</v>
      </c>
      <c r="I209">
        <v>4</v>
      </c>
      <c r="J209" s="31" t="s">
        <v>19</v>
      </c>
      <c r="K209">
        <v>19</v>
      </c>
      <c r="L209" s="31" t="s">
        <v>19</v>
      </c>
      <c r="M209" s="31" t="s">
        <v>30</v>
      </c>
      <c r="N209">
        <v>80</v>
      </c>
      <c r="O209" s="31" t="s">
        <v>42</v>
      </c>
    </row>
    <row r="210" spans="1:15" x14ac:dyDescent="0.25">
      <c r="A210" s="31" t="s">
        <v>247</v>
      </c>
      <c r="B210">
        <v>45</v>
      </c>
      <c r="C210" s="31" t="s">
        <v>16</v>
      </c>
      <c r="D210" s="31" t="s">
        <v>17</v>
      </c>
      <c r="E210" s="31" t="s">
        <v>41</v>
      </c>
      <c r="F210">
        <v>44972</v>
      </c>
      <c r="G210">
        <v>3</v>
      </c>
      <c r="H210">
        <v>1</v>
      </c>
      <c r="I210">
        <v>5</v>
      </c>
      <c r="J210" s="31" t="s">
        <v>19</v>
      </c>
      <c r="K210">
        <v>17</v>
      </c>
      <c r="L210" s="31" t="s">
        <v>19</v>
      </c>
      <c r="M210" s="31" t="s">
        <v>30</v>
      </c>
      <c r="N210">
        <v>46</v>
      </c>
      <c r="O210" s="31" t="s">
        <v>44</v>
      </c>
    </row>
    <row r="211" spans="1:15" x14ac:dyDescent="0.25">
      <c r="A211" s="31" t="s">
        <v>248</v>
      </c>
      <c r="B211">
        <v>50</v>
      </c>
      <c r="C211" s="31" t="s">
        <v>16</v>
      </c>
      <c r="D211" s="31" t="s">
        <v>29</v>
      </c>
      <c r="E211" s="31" t="s">
        <v>38</v>
      </c>
      <c r="F211">
        <v>82157</v>
      </c>
      <c r="G211">
        <v>5</v>
      </c>
      <c r="H211">
        <v>3</v>
      </c>
      <c r="I211">
        <v>5</v>
      </c>
      <c r="J211" s="31" t="s">
        <v>20</v>
      </c>
      <c r="K211">
        <v>19</v>
      </c>
      <c r="L211" s="31" t="s">
        <v>20</v>
      </c>
      <c r="M211" s="31" t="s">
        <v>26</v>
      </c>
      <c r="N211">
        <v>19</v>
      </c>
      <c r="O211" s="31" t="s">
        <v>36</v>
      </c>
    </row>
    <row r="212" spans="1:15" x14ac:dyDescent="0.25">
      <c r="A212" s="31" t="s">
        <v>249</v>
      </c>
      <c r="B212">
        <v>39</v>
      </c>
      <c r="C212" s="31" t="s">
        <v>28</v>
      </c>
      <c r="D212" s="31" t="s">
        <v>24</v>
      </c>
      <c r="E212" s="31" t="s">
        <v>41</v>
      </c>
      <c r="F212">
        <v>106288</v>
      </c>
      <c r="G212">
        <v>3</v>
      </c>
      <c r="H212">
        <v>5</v>
      </c>
      <c r="I212">
        <v>5</v>
      </c>
      <c r="J212" s="31" t="s">
        <v>19</v>
      </c>
      <c r="K212">
        <v>4</v>
      </c>
      <c r="L212" s="31" t="s">
        <v>20</v>
      </c>
      <c r="M212" s="31" t="s">
        <v>21</v>
      </c>
      <c r="N212">
        <v>35</v>
      </c>
      <c r="O212" s="31" t="s">
        <v>36</v>
      </c>
    </row>
    <row r="213" spans="1:15" x14ac:dyDescent="0.25">
      <c r="A213" s="31" t="s">
        <v>250</v>
      </c>
      <c r="B213">
        <v>28</v>
      </c>
      <c r="C213" s="31" t="s">
        <v>16</v>
      </c>
      <c r="D213" s="31" t="s">
        <v>29</v>
      </c>
      <c r="E213" s="31" t="s">
        <v>38</v>
      </c>
      <c r="F213">
        <v>36528</v>
      </c>
      <c r="G213">
        <v>5</v>
      </c>
      <c r="H213">
        <v>4</v>
      </c>
      <c r="I213">
        <v>4</v>
      </c>
      <c r="J213" s="31" t="s">
        <v>19</v>
      </c>
      <c r="K213">
        <v>18</v>
      </c>
      <c r="L213" s="31" t="s">
        <v>20</v>
      </c>
      <c r="M213" s="31" t="s">
        <v>30</v>
      </c>
      <c r="N213">
        <v>28</v>
      </c>
      <c r="O213" s="31" t="s">
        <v>42</v>
      </c>
    </row>
    <row r="214" spans="1:15" x14ac:dyDescent="0.25">
      <c r="A214" s="31" t="s">
        <v>251</v>
      </c>
      <c r="B214">
        <v>55</v>
      </c>
      <c r="C214" s="31" t="s">
        <v>16</v>
      </c>
      <c r="D214" s="31" t="s">
        <v>24</v>
      </c>
      <c r="E214" s="31" t="s">
        <v>41</v>
      </c>
      <c r="F214">
        <v>82178</v>
      </c>
      <c r="G214">
        <v>3</v>
      </c>
      <c r="H214">
        <v>2</v>
      </c>
      <c r="I214">
        <v>2</v>
      </c>
      <c r="J214" s="31" t="s">
        <v>20</v>
      </c>
      <c r="K214">
        <v>14</v>
      </c>
      <c r="L214" s="31" t="s">
        <v>19</v>
      </c>
      <c r="M214" s="31" t="s">
        <v>30</v>
      </c>
      <c r="N214">
        <v>6</v>
      </c>
      <c r="O214" s="31" t="s">
        <v>42</v>
      </c>
    </row>
    <row r="215" spans="1:15" x14ac:dyDescent="0.25">
      <c r="A215" s="31" t="s">
        <v>252</v>
      </c>
      <c r="B215">
        <v>29</v>
      </c>
      <c r="C215" s="31" t="s">
        <v>16</v>
      </c>
      <c r="D215" s="31" t="s">
        <v>49</v>
      </c>
      <c r="E215" s="31" t="s">
        <v>25</v>
      </c>
      <c r="F215">
        <v>84248</v>
      </c>
      <c r="G215">
        <v>4</v>
      </c>
      <c r="H215">
        <v>3</v>
      </c>
      <c r="I215">
        <v>4</v>
      </c>
      <c r="J215" s="31" t="s">
        <v>20</v>
      </c>
      <c r="K215">
        <v>14</v>
      </c>
      <c r="L215" s="31" t="s">
        <v>20</v>
      </c>
      <c r="M215" s="31" t="s">
        <v>21</v>
      </c>
      <c r="N215">
        <v>15</v>
      </c>
      <c r="O215" s="31" t="s">
        <v>31</v>
      </c>
    </row>
    <row r="216" spans="1:15" x14ac:dyDescent="0.25">
      <c r="A216" s="31" t="s">
        <v>253</v>
      </c>
      <c r="B216">
        <v>22</v>
      </c>
      <c r="C216" s="31" t="s">
        <v>16</v>
      </c>
      <c r="D216" s="31" t="s">
        <v>29</v>
      </c>
      <c r="E216" s="31" t="s">
        <v>35</v>
      </c>
      <c r="F216">
        <v>54025</v>
      </c>
      <c r="G216">
        <v>3</v>
      </c>
      <c r="H216">
        <v>5</v>
      </c>
      <c r="I216">
        <v>3</v>
      </c>
      <c r="J216" s="31" t="s">
        <v>19</v>
      </c>
      <c r="K216">
        <v>14</v>
      </c>
      <c r="L216" s="31" t="s">
        <v>20</v>
      </c>
      <c r="M216" s="31" t="s">
        <v>26</v>
      </c>
      <c r="N216">
        <v>70</v>
      </c>
      <c r="O216" s="31" t="s">
        <v>22</v>
      </c>
    </row>
    <row r="217" spans="1:15" x14ac:dyDescent="0.25">
      <c r="A217" s="31" t="s">
        <v>254</v>
      </c>
      <c r="B217">
        <v>57</v>
      </c>
      <c r="C217" s="31" t="s">
        <v>16</v>
      </c>
      <c r="D217" s="31" t="s">
        <v>29</v>
      </c>
      <c r="E217" s="31" t="s">
        <v>25</v>
      </c>
      <c r="F217">
        <v>66085</v>
      </c>
      <c r="G217">
        <v>5</v>
      </c>
      <c r="H217">
        <v>1</v>
      </c>
      <c r="I217">
        <v>4</v>
      </c>
      <c r="J217" s="31" t="s">
        <v>19</v>
      </c>
      <c r="K217">
        <v>13</v>
      </c>
      <c r="L217" s="31" t="s">
        <v>19</v>
      </c>
      <c r="M217" s="31" t="s">
        <v>26</v>
      </c>
      <c r="N217">
        <v>36</v>
      </c>
      <c r="O217" s="31" t="s">
        <v>36</v>
      </c>
    </row>
    <row r="218" spans="1:15" x14ac:dyDescent="0.25">
      <c r="A218" s="31" t="s">
        <v>255</v>
      </c>
      <c r="B218">
        <v>23</v>
      </c>
      <c r="C218" s="31" t="s">
        <v>28</v>
      </c>
      <c r="D218" s="31" t="s">
        <v>29</v>
      </c>
      <c r="E218" s="31" t="s">
        <v>18</v>
      </c>
      <c r="F218">
        <v>29401</v>
      </c>
      <c r="G218">
        <v>4</v>
      </c>
      <c r="H218">
        <v>1</v>
      </c>
      <c r="I218">
        <v>2</v>
      </c>
      <c r="J218" s="31" t="s">
        <v>19</v>
      </c>
      <c r="K218">
        <v>18</v>
      </c>
      <c r="L218" s="31" t="s">
        <v>20</v>
      </c>
      <c r="M218" s="31" t="s">
        <v>26</v>
      </c>
      <c r="N218">
        <v>59</v>
      </c>
      <c r="O218" s="31" t="s">
        <v>44</v>
      </c>
    </row>
    <row r="219" spans="1:15" x14ac:dyDescent="0.25">
      <c r="A219" s="31" t="s">
        <v>256</v>
      </c>
      <c r="B219">
        <v>29</v>
      </c>
      <c r="C219" s="31" t="s">
        <v>16</v>
      </c>
      <c r="D219" s="31" t="s">
        <v>51</v>
      </c>
      <c r="E219" s="31" t="s">
        <v>35</v>
      </c>
      <c r="F219">
        <v>92720</v>
      </c>
      <c r="G219">
        <v>3</v>
      </c>
      <c r="H219">
        <v>3</v>
      </c>
      <c r="I219">
        <v>3</v>
      </c>
      <c r="J219" s="31" t="s">
        <v>19</v>
      </c>
      <c r="K219">
        <v>10</v>
      </c>
      <c r="L219" s="31" t="s">
        <v>20</v>
      </c>
      <c r="M219" s="31" t="s">
        <v>30</v>
      </c>
      <c r="N219">
        <v>78</v>
      </c>
      <c r="O219" s="31" t="s">
        <v>36</v>
      </c>
    </row>
    <row r="220" spans="1:15" x14ac:dyDescent="0.25">
      <c r="A220" s="31" t="s">
        <v>257</v>
      </c>
      <c r="B220">
        <v>53</v>
      </c>
      <c r="C220" s="31" t="s">
        <v>16</v>
      </c>
      <c r="D220" s="31" t="s">
        <v>51</v>
      </c>
      <c r="E220" s="31" t="s">
        <v>33</v>
      </c>
      <c r="F220">
        <v>25770</v>
      </c>
      <c r="G220">
        <v>3</v>
      </c>
      <c r="H220">
        <v>2</v>
      </c>
      <c r="I220">
        <v>2</v>
      </c>
      <c r="J220" s="31" t="s">
        <v>19</v>
      </c>
      <c r="K220">
        <v>4</v>
      </c>
      <c r="L220" s="31" t="s">
        <v>20</v>
      </c>
      <c r="M220" s="31" t="s">
        <v>21</v>
      </c>
      <c r="N220">
        <v>55</v>
      </c>
      <c r="O220" s="31" t="s">
        <v>42</v>
      </c>
    </row>
    <row r="221" spans="1:15" x14ac:dyDescent="0.25">
      <c r="A221" s="31" t="s">
        <v>258</v>
      </c>
      <c r="B221">
        <v>30</v>
      </c>
      <c r="C221" s="31" t="s">
        <v>28</v>
      </c>
      <c r="D221" s="31" t="s">
        <v>17</v>
      </c>
      <c r="E221" s="31" t="s">
        <v>33</v>
      </c>
      <c r="F221">
        <v>67174</v>
      </c>
      <c r="G221">
        <v>4</v>
      </c>
      <c r="H221">
        <v>1</v>
      </c>
      <c r="I221">
        <v>3</v>
      </c>
      <c r="J221" s="31" t="s">
        <v>20</v>
      </c>
      <c r="K221">
        <v>16</v>
      </c>
      <c r="L221" s="31" t="s">
        <v>20</v>
      </c>
      <c r="M221" s="31" t="s">
        <v>26</v>
      </c>
      <c r="N221">
        <v>52</v>
      </c>
      <c r="O221" s="31" t="s">
        <v>42</v>
      </c>
    </row>
    <row r="222" spans="1:15" x14ac:dyDescent="0.25">
      <c r="A222" s="31" t="s">
        <v>259</v>
      </c>
      <c r="B222">
        <v>52</v>
      </c>
      <c r="C222" s="31" t="s">
        <v>28</v>
      </c>
      <c r="D222" s="31" t="s">
        <v>24</v>
      </c>
      <c r="E222" s="31" t="s">
        <v>35</v>
      </c>
      <c r="F222">
        <v>119467</v>
      </c>
      <c r="G222">
        <v>1</v>
      </c>
      <c r="H222">
        <v>4</v>
      </c>
      <c r="I222">
        <v>3</v>
      </c>
      <c r="J222" s="31" t="s">
        <v>19</v>
      </c>
      <c r="K222">
        <v>17</v>
      </c>
      <c r="L222" s="31" t="s">
        <v>20</v>
      </c>
      <c r="M222" s="31" t="s">
        <v>21</v>
      </c>
      <c r="N222">
        <v>59</v>
      </c>
      <c r="O222" s="31" t="s">
        <v>44</v>
      </c>
    </row>
    <row r="223" spans="1:15" x14ac:dyDescent="0.25">
      <c r="A223" s="31" t="s">
        <v>260</v>
      </c>
      <c r="B223">
        <v>52</v>
      </c>
      <c r="C223" s="31" t="s">
        <v>28</v>
      </c>
      <c r="D223" s="31" t="s">
        <v>29</v>
      </c>
      <c r="E223" s="31" t="s">
        <v>18</v>
      </c>
      <c r="F223">
        <v>62270</v>
      </c>
      <c r="G223">
        <v>5</v>
      </c>
      <c r="H223">
        <v>5</v>
      </c>
      <c r="I223">
        <v>2</v>
      </c>
      <c r="J223" s="31" t="s">
        <v>20</v>
      </c>
      <c r="K223">
        <v>10</v>
      </c>
      <c r="L223" s="31" t="s">
        <v>19</v>
      </c>
      <c r="M223" s="31" t="s">
        <v>21</v>
      </c>
      <c r="N223">
        <v>17</v>
      </c>
      <c r="O223" s="31" t="s">
        <v>42</v>
      </c>
    </row>
    <row r="224" spans="1:15" x14ac:dyDescent="0.25">
      <c r="A224" s="31" t="s">
        <v>261</v>
      </c>
      <c r="B224">
        <v>22</v>
      </c>
      <c r="C224" s="31" t="s">
        <v>16</v>
      </c>
      <c r="D224" s="31" t="s">
        <v>51</v>
      </c>
      <c r="E224" s="31" t="s">
        <v>33</v>
      </c>
      <c r="F224">
        <v>77836</v>
      </c>
      <c r="G224">
        <v>1</v>
      </c>
      <c r="H224">
        <v>4</v>
      </c>
      <c r="I224">
        <v>3</v>
      </c>
      <c r="J224" s="31" t="s">
        <v>19</v>
      </c>
      <c r="K224">
        <v>20</v>
      </c>
      <c r="L224" s="31" t="s">
        <v>20</v>
      </c>
      <c r="M224" s="31" t="s">
        <v>21</v>
      </c>
      <c r="N224">
        <v>40</v>
      </c>
      <c r="O224" s="31" t="s">
        <v>22</v>
      </c>
    </row>
    <row r="225" spans="1:15" x14ac:dyDescent="0.25">
      <c r="A225" s="31" t="s">
        <v>262</v>
      </c>
      <c r="B225">
        <v>44</v>
      </c>
      <c r="C225" s="31" t="s">
        <v>28</v>
      </c>
      <c r="D225" s="31" t="s">
        <v>40</v>
      </c>
      <c r="E225" s="31" t="s">
        <v>18</v>
      </c>
      <c r="F225">
        <v>68925</v>
      </c>
      <c r="G225">
        <v>2</v>
      </c>
      <c r="H225">
        <v>1</v>
      </c>
      <c r="I225">
        <v>4</v>
      </c>
      <c r="J225" s="31" t="s">
        <v>20</v>
      </c>
      <c r="K225">
        <v>7</v>
      </c>
      <c r="L225" s="31" t="s">
        <v>20</v>
      </c>
      <c r="M225" s="31" t="s">
        <v>26</v>
      </c>
      <c r="N225">
        <v>16</v>
      </c>
      <c r="O225" s="31" t="s">
        <v>22</v>
      </c>
    </row>
    <row r="226" spans="1:15" x14ac:dyDescent="0.25">
      <c r="A226" s="31" t="s">
        <v>263</v>
      </c>
      <c r="B226">
        <v>21</v>
      </c>
      <c r="C226" s="31" t="s">
        <v>16</v>
      </c>
      <c r="D226" s="31" t="s">
        <v>49</v>
      </c>
      <c r="E226" s="31" t="s">
        <v>35</v>
      </c>
      <c r="F226">
        <v>35393</v>
      </c>
      <c r="G226">
        <v>5</v>
      </c>
      <c r="H226">
        <v>2</v>
      </c>
      <c r="I226">
        <v>5</v>
      </c>
      <c r="J226" s="31" t="s">
        <v>20</v>
      </c>
      <c r="K226">
        <v>0</v>
      </c>
      <c r="L226" s="31" t="s">
        <v>19</v>
      </c>
      <c r="M226" s="31" t="s">
        <v>26</v>
      </c>
      <c r="N226">
        <v>48</v>
      </c>
      <c r="O226" s="31" t="s">
        <v>22</v>
      </c>
    </row>
    <row r="227" spans="1:15" x14ac:dyDescent="0.25">
      <c r="A227" s="31" t="s">
        <v>264</v>
      </c>
      <c r="B227">
        <v>48</v>
      </c>
      <c r="C227" s="31" t="s">
        <v>16</v>
      </c>
      <c r="D227" s="31" t="s">
        <v>49</v>
      </c>
      <c r="E227" s="31" t="s">
        <v>35</v>
      </c>
      <c r="F227">
        <v>48008</v>
      </c>
      <c r="G227">
        <v>4</v>
      </c>
      <c r="H227">
        <v>1</v>
      </c>
      <c r="I227">
        <v>1</v>
      </c>
      <c r="J227" s="31" t="s">
        <v>19</v>
      </c>
      <c r="K227">
        <v>10</v>
      </c>
      <c r="L227" s="31" t="s">
        <v>20</v>
      </c>
      <c r="M227" s="31" t="s">
        <v>30</v>
      </c>
      <c r="N227">
        <v>22</v>
      </c>
      <c r="O227" s="31" t="s">
        <v>42</v>
      </c>
    </row>
    <row r="228" spans="1:15" x14ac:dyDescent="0.25">
      <c r="A228" s="31" t="s">
        <v>265</v>
      </c>
      <c r="B228">
        <v>29</v>
      </c>
      <c r="C228" s="31" t="s">
        <v>16</v>
      </c>
      <c r="D228" s="31" t="s">
        <v>40</v>
      </c>
      <c r="E228" s="31" t="s">
        <v>25</v>
      </c>
      <c r="F228">
        <v>91831</v>
      </c>
      <c r="G228">
        <v>1</v>
      </c>
      <c r="H228">
        <v>5</v>
      </c>
      <c r="I228">
        <v>2</v>
      </c>
      <c r="J228" s="31" t="s">
        <v>20</v>
      </c>
      <c r="K228">
        <v>11</v>
      </c>
      <c r="L228" s="31" t="s">
        <v>19</v>
      </c>
      <c r="M228" s="31" t="s">
        <v>26</v>
      </c>
      <c r="N228">
        <v>24</v>
      </c>
      <c r="O228" s="31" t="s">
        <v>42</v>
      </c>
    </row>
    <row r="229" spans="1:15" x14ac:dyDescent="0.25">
      <c r="A229" s="31" t="s">
        <v>266</v>
      </c>
      <c r="B229">
        <v>49</v>
      </c>
      <c r="C229" s="31" t="s">
        <v>16</v>
      </c>
      <c r="D229" s="31" t="s">
        <v>40</v>
      </c>
      <c r="E229" s="31" t="s">
        <v>35</v>
      </c>
      <c r="F229">
        <v>36351</v>
      </c>
      <c r="G229">
        <v>1</v>
      </c>
      <c r="H229">
        <v>5</v>
      </c>
      <c r="I229">
        <v>4</v>
      </c>
      <c r="J229" s="31" t="s">
        <v>20</v>
      </c>
      <c r="K229">
        <v>13</v>
      </c>
      <c r="L229" s="31" t="s">
        <v>20</v>
      </c>
      <c r="M229" s="31" t="s">
        <v>21</v>
      </c>
      <c r="N229">
        <v>36</v>
      </c>
      <c r="O229" s="31" t="s">
        <v>36</v>
      </c>
    </row>
    <row r="230" spans="1:15" x14ac:dyDescent="0.25">
      <c r="A230" s="31" t="s">
        <v>267</v>
      </c>
      <c r="B230">
        <v>26</v>
      </c>
      <c r="C230" s="31" t="s">
        <v>16</v>
      </c>
      <c r="D230" s="31" t="s">
        <v>24</v>
      </c>
      <c r="E230" s="31" t="s">
        <v>25</v>
      </c>
      <c r="F230">
        <v>96644</v>
      </c>
      <c r="G230">
        <v>5</v>
      </c>
      <c r="H230">
        <v>3</v>
      </c>
      <c r="I230">
        <v>1</v>
      </c>
      <c r="J230" s="31" t="s">
        <v>20</v>
      </c>
      <c r="K230">
        <v>6</v>
      </c>
      <c r="L230" s="31" t="s">
        <v>19</v>
      </c>
      <c r="M230" s="31" t="s">
        <v>26</v>
      </c>
      <c r="N230">
        <v>55</v>
      </c>
      <c r="O230" s="31" t="s">
        <v>36</v>
      </c>
    </row>
    <row r="231" spans="1:15" x14ac:dyDescent="0.25">
      <c r="A231" s="31" t="s">
        <v>268</v>
      </c>
      <c r="B231">
        <v>24</v>
      </c>
      <c r="C231" s="31" t="s">
        <v>16</v>
      </c>
      <c r="D231" s="31" t="s">
        <v>49</v>
      </c>
      <c r="E231" s="31" t="s">
        <v>33</v>
      </c>
      <c r="F231">
        <v>32777</v>
      </c>
      <c r="G231">
        <v>2</v>
      </c>
      <c r="H231">
        <v>4</v>
      </c>
      <c r="I231">
        <v>5</v>
      </c>
      <c r="J231" s="31" t="s">
        <v>19</v>
      </c>
      <c r="K231">
        <v>16</v>
      </c>
      <c r="L231" s="31" t="s">
        <v>19</v>
      </c>
      <c r="M231" s="31" t="s">
        <v>30</v>
      </c>
      <c r="N231">
        <v>45</v>
      </c>
      <c r="O231" s="31" t="s">
        <v>44</v>
      </c>
    </row>
    <row r="232" spans="1:15" x14ac:dyDescent="0.25">
      <c r="A232" s="31" t="s">
        <v>269</v>
      </c>
      <c r="B232">
        <v>45</v>
      </c>
      <c r="C232" s="31" t="s">
        <v>28</v>
      </c>
      <c r="D232" s="31" t="s">
        <v>29</v>
      </c>
      <c r="E232" s="31" t="s">
        <v>25</v>
      </c>
      <c r="F232">
        <v>107514</v>
      </c>
      <c r="G232">
        <v>2</v>
      </c>
      <c r="H232">
        <v>4</v>
      </c>
      <c r="I232">
        <v>1</v>
      </c>
      <c r="J232" s="31" t="s">
        <v>19</v>
      </c>
      <c r="K232">
        <v>18</v>
      </c>
      <c r="L232" s="31" t="s">
        <v>19</v>
      </c>
      <c r="M232" s="31" t="s">
        <v>21</v>
      </c>
      <c r="N232">
        <v>38</v>
      </c>
      <c r="O232" s="31" t="s">
        <v>44</v>
      </c>
    </row>
    <row r="233" spans="1:15" x14ac:dyDescent="0.25">
      <c r="A233" s="31" t="s">
        <v>270</v>
      </c>
      <c r="B233">
        <v>23</v>
      </c>
      <c r="C233" s="31" t="s">
        <v>16</v>
      </c>
      <c r="D233" s="31" t="s">
        <v>49</v>
      </c>
      <c r="E233" s="31" t="s">
        <v>25</v>
      </c>
      <c r="F233">
        <v>55550</v>
      </c>
      <c r="G233">
        <v>5</v>
      </c>
      <c r="H233">
        <v>4</v>
      </c>
      <c r="I233">
        <v>4</v>
      </c>
      <c r="J233" s="31" t="s">
        <v>20</v>
      </c>
      <c r="K233">
        <v>2</v>
      </c>
      <c r="L233" s="31" t="s">
        <v>19</v>
      </c>
      <c r="M233" s="31" t="s">
        <v>30</v>
      </c>
      <c r="N233">
        <v>15</v>
      </c>
      <c r="O233" s="31" t="s">
        <v>36</v>
      </c>
    </row>
    <row r="234" spans="1:15" x14ac:dyDescent="0.25">
      <c r="A234" s="31" t="s">
        <v>271</v>
      </c>
      <c r="B234">
        <v>26</v>
      </c>
      <c r="C234" s="31" t="s">
        <v>16</v>
      </c>
      <c r="D234" s="31" t="s">
        <v>51</v>
      </c>
      <c r="E234" s="31" t="s">
        <v>25</v>
      </c>
      <c r="F234">
        <v>68925</v>
      </c>
      <c r="G234">
        <v>4</v>
      </c>
      <c r="H234">
        <v>5</v>
      </c>
      <c r="I234">
        <v>1</v>
      </c>
      <c r="J234" s="31" t="s">
        <v>20</v>
      </c>
      <c r="K234">
        <v>13</v>
      </c>
      <c r="L234" s="31" t="s">
        <v>19</v>
      </c>
      <c r="M234" s="31" t="s">
        <v>21</v>
      </c>
      <c r="N234">
        <v>36</v>
      </c>
      <c r="O234" s="31" t="s">
        <v>22</v>
      </c>
    </row>
    <row r="235" spans="1:15" x14ac:dyDescent="0.25">
      <c r="A235" s="31" t="s">
        <v>272</v>
      </c>
      <c r="B235">
        <v>48</v>
      </c>
      <c r="C235" s="31" t="s">
        <v>16</v>
      </c>
      <c r="D235" s="31" t="s">
        <v>49</v>
      </c>
      <c r="E235" s="31" t="s">
        <v>25</v>
      </c>
      <c r="F235">
        <v>97800</v>
      </c>
      <c r="G235">
        <v>1</v>
      </c>
      <c r="H235">
        <v>3</v>
      </c>
      <c r="I235">
        <v>2</v>
      </c>
      <c r="J235" s="31" t="s">
        <v>19</v>
      </c>
      <c r="K235">
        <v>0</v>
      </c>
      <c r="L235" s="31" t="s">
        <v>19</v>
      </c>
      <c r="M235" s="31" t="s">
        <v>26</v>
      </c>
      <c r="N235">
        <v>6</v>
      </c>
      <c r="O235" s="31" t="s">
        <v>44</v>
      </c>
    </row>
    <row r="236" spans="1:15" x14ac:dyDescent="0.25">
      <c r="A236" s="31" t="s">
        <v>273</v>
      </c>
      <c r="B236">
        <v>52</v>
      </c>
      <c r="C236" s="31" t="s">
        <v>28</v>
      </c>
      <c r="D236" s="31" t="s">
        <v>24</v>
      </c>
      <c r="E236" s="31" t="s">
        <v>25</v>
      </c>
      <c r="F236">
        <v>68925</v>
      </c>
      <c r="G236">
        <v>3</v>
      </c>
      <c r="H236">
        <v>2</v>
      </c>
      <c r="I236">
        <v>3</v>
      </c>
      <c r="J236" s="31" t="s">
        <v>19</v>
      </c>
      <c r="K236">
        <v>8</v>
      </c>
      <c r="L236" s="31" t="s">
        <v>19</v>
      </c>
      <c r="M236" s="31" t="s">
        <v>21</v>
      </c>
      <c r="N236">
        <v>47</v>
      </c>
      <c r="O236" s="31" t="s">
        <v>42</v>
      </c>
    </row>
    <row r="237" spans="1:15" x14ac:dyDescent="0.25">
      <c r="A237" s="31" t="s">
        <v>274</v>
      </c>
      <c r="B237">
        <v>38</v>
      </c>
      <c r="C237" s="31" t="s">
        <v>16</v>
      </c>
      <c r="D237" s="31" t="s">
        <v>29</v>
      </c>
      <c r="E237" s="31" t="s">
        <v>38</v>
      </c>
      <c r="F237">
        <v>93582</v>
      </c>
      <c r="G237">
        <v>1</v>
      </c>
      <c r="H237">
        <v>4</v>
      </c>
      <c r="I237">
        <v>4</v>
      </c>
      <c r="J237" s="31" t="s">
        <v>20</v>
      </c>
      <c r="K237">
        <v>1</v>
      </c>
      <c r="L237" s="31" t="s">
        <v>20</v>
      </c>
      <c r="M237" s="31" t="s">
        <v>26</v>
      </c>
      <c r="N237">
        <v>26</v>
      </c>
      <c r="O237" s="31" t="s">
        <v>36</v>
      </c>
    </row>
    <row r="238" spans="1:15" x14ac:dyDescent="0.25">
      <c r="A238" s="31" t="s">
        <v>275</v>
      </c>
      <c r="B238">
        <v>31</v>
      </c>
      <c r="C238" s="31" t="s">
        <v>28</v>
      </c>
      <c r="D238" s="31" t="s">
        <v>40</v>
      </c>
      <c r="E238" s="31" t="s">
        <v>25</v>
      </c>
      <c r="F238">
        <v>106358</v>
      </c>
      <c r="G238">
        <v>1</v>
      </c>
      <c r="H238">
        <v>2</v>
      </c>
      <c r="I238">
        <v>3</v>
      </c>
      <c r="J238" s="31" t="s">
        <v>19</v>
      </c>
      <c r="K238">
        <v>1</v>
      </c>
      <c r="L238" s="31" t="s">
        <v>19</v>
      </c>
      <c r="M238" s="31" t="s">
        <v>21</v>
      </c>
      <c r="N238">
        <v>10</v>
      </c>
      <c r="O238" s="31" t="s">
        <v>42</v>
      </c>
    </row>
    <row r="239" spans="1:15" x14ac:dyDescent="0.25">
      <c r="A239" s="31" t="s">
        <v>276</v>
      </c>
      <c r="B239">
        <v>44</v>
      </c>
      <c r="C239" s="31" t="s">
        <v>28</v>
      </c>
      <c r="D239" s="31" t="s">
        <v>51</v>
      </c>
      <c r="E239" s="31" t="s">
        <v>41</v>
      </c>
      <c r="F239">
        <v>22635</v>
      </c>
      <c r="G239">
        <v>5</v>
      </c>
      <c r="H239">
        <v>4</v>
      </c>
      <c r="I239">
        <v>2</v>
      </c>
      <c r="J239" s="31" t="s">
        <v>20</v>
      </c>
      <c r="K239">
        <v>7</v>
      </c>
      <c r="L239" s="31" t="s">
        <v>20</v>
      </c>
      <c r="M239" s="31" t="s">
        <v>26</v>
      </c>
      <c r="N239">
        <v>45</v>
      </c>
      <c r="O239" s="31" t="s">
        <v>36</v>
      </c>
    </row>
    <row r="240" spans="1:15" x14ac:dyDescent="0.25">
      <c r="A240" s="31" t="s">
        <v>277</v>
      </c>
      <c r="B240">
        <v>25</v>
      </c>
      <c r="C240" s="31" t="s">
        <v>28</v>
      </c>
      <c r="D240" s="31" t="s">
        <v>40</v>
      </c>
      <c r="E240" s="31" t="s">
        <v>25</v>
      </c>
      <c r="F240">
        <v>106254</v>
      </c>
      <c r="G240">
        <v>3</v>
      </c>
      <c r="H240">
        <v>2</v>
      </c>
      <c r="I240">
        <v>2</v>
      </c>
      <c r="J240" s="31" t="s">
        <v>19</v>
      </c>
      <c r="K240">
        <v>12</v>
      </c>
      <c r="L240" s="31" t="s">
        <v>19</v>
      </c>
      <c r="M240" s="31" t="s">
        <v>30</v>
      </c>
      <c r="N240">
        <v>41</v>
      </c>
      <c r="O240" s="31" t="s">
        <v>36</v>
      </c>
    </row>
    <row r="241" spans="1:15" x14ac:dyDescent="0.25">
      <c r="A241" s="31" t="s">
        <v>278</v>
      </c>
      <c r="B241">
        <v>41</v>
      </c>
      <c r="C241" s="31" t="s">
        <v>16</v>
      </c>
      <c r="D241" s="31" t="s">
        <v>24</v>
      </c>
      <c r="E241" s="31" t="s">
        <v>33</v>
      </c>
      <c r="F241">
        <v>19044</v>
      </c>
      <c r="G241">
        <v>3</v>
      </c>
      <c r="H241">
        <v>2</v>
      </c>
      <c r="I241">
        <v>3</v>
      </c>
      <c r="J241" s="31" t="s">
        <v>20</v>
      </c>
      <c r="K241">
        <v>19</v>
      </c>
      <c r="L241" s="31" t="s">
        <v>19</v>
      </c>
      <c r="M241" s="31" t="s">
        <v>30</v>
      </c>
      <c r="N241">
        <v>52</v>
      </c>
      <c r="O241" s="31" t="s">
        <v>31</v>
      </c>
    </row>
    <row r="242" spans="1:15" x14ac:dyDescent="0.25">
      <c r="A242" s="31" t="s">
        <v>279</v>
      </c>
      <c r="B242">
        <v>52</v>
      </c>
      <c r="C242" s="31" t="s">
        <v>16</v>
      </c>
      <c r="D242" s="31" t="s">
        <v>17</v>
      </c>
      <c r="E242" s="31" t="s">
        <v>25</v>
      </c>
      <c r="F242">
        <v>117677</v>
      </c>
      <c r="G242">
        <v>2</v>
      </c>
      <c r="H242">
        <v>3</v>
      </c>
      <c r="I242">
        <v>1</v>
      </c>
      <c r="J242" s="31" t="s">
        <v>20</v>
      </c>
      <c r="K242">
        <v>0</v>
      </c>
      <c r="L242" s="31" t="s">
        <v>19</v>
      </c>
      <c r="M242" s="31" t="s">
        <v>26</v>
      </c>
      <c r="N242">
        <v>49</v>
      </c>
      <c r="O242" s="31" t="s">
        <v>22</v>
      </c>
    </row>
    <row r="243" spans="1:15" x14ac:dyDescent="0.25">
      <c r="A243" s="31" t="s">
        <v>280</v>
      </c>
      <c r="B243">
        <v>42</v>
      </c>
      <c r="C243" s="31" t="s">
        <v>16</v>
      </c>
      <c r="D243" s="31" t="s">
        <v>17</v>
      </c>
      <c r="E243" s="31" t="s">
        <v>33</v>
      </c>
      <c r="F243">
        <v>114741</v>
      </c>
      <c r="G243">
        <v>3</v>
      </c>
      <c r="H243">
        <v>1</v>
      </c>
      <c r="I243">
        <v>2</v>
      </c>
      <c r="J243" s="31" t="s">
        <v>19</v>
      </c>
      <c r="K243">
        <v>13</v>
      </c>
      <c r="L243" s="31" t="s">
        <v>20</v>
      </c>
      <c r="M243" s="31" t="s">
        <v>21</v>
      </c>
      <c r="N243">
        <v>23</v>
      </c>
      <c r="O243" s="31" t="s">
        <v>36</v>
      </c>
    </row>
    <row r="244" spans="1:15" x14ac:dyDescent="0.25">
      <c r="A244" s="31" t="s">
        <v>281</v>
      </c>
      <c r="B244">
        <v>26</v>
      </c>
      <c r="C244" s="31" t="s">
        <v>16</v>
      </c>
      <c r="D244" s="31" t="s">
        <v>51</v>
      </c>
      <c r="E244" s="31" t="s">
        <v>25</v>
      </c>
      <c r="F244">
        <v>72140</v>
      </c>
      <c r="G244">
        <v>3</v>
      </c>
      <c r="H244">
        <v>4</v>
      </c>
      <c r="I244">
        <v>3</v>
      </c>
      <c r="J244" s="31" t="s">
        <v>19</v>
      </c>
      <c r="K244">
        <v>16</v>
      </c>
      <c r="L244" s="31" t="s">
        <v>19</v>
      </c>
      <c r="M244" s="31" t="s">
        <v>26</v>
      </c>
      <c r="N244">
        <v>55</v>
      </c>
      <c r="O244" s="31" t="s">
        <v>22</v>
      </c>
    </row>
    <row r="245" spans="1:15" x14ac:dyDescent="0.25">
      <c r="A245" s="31" t="s">
        <v>282</v>
      </c>
      <c r="B245">
        <v>58</v>
      </c>
      <c r="C245" s="31" t="s">
        <v>16</v>
      </c>
      <c r="D245" s="31" t="s">
        <v>49</v>
      </c>
      <c r="E245" s="31" t="s">
        <v>38</v>
      </c>
      <c r="F245">
        <v>35132</v>
      </c>
      <c r="G245">
        <v>2</v>
      </c>
      <c r="H245">
        <v>3</v>
      </c>
      <c r="I245">
        <v>3</v>
      </c>
      <c r="J245" s="31" t="s">
        <v>20</v>
      </c>
      <c r="K245">
        <v>12</v>
      </c>
      <c r="L245" s="31" t="s">
        <v>20</v>
      </c>
      <c r="M245" s="31" t="s">
        <v>30</v>
      </c>
      <c r="N245">
        <v>62</v>
      </c>
      <c r="O245" s="31" t="s">
        <v>36</v>
      </c>
    </row>
    <row r="246" spans="1:15" x14ac:dyDescent="0.25">
      <c r="A246" s="31" t="s">
        <v>283</v>
      </c>
      <c r="B246">
        <v>35</v>
      </c>
      <c r="C246" s="31" t="s">
        <v>16</v>
      </c>
      <c r="D246" s="31" t="s">
        <v>51</v>
      </c>
      <c r="E246" s="31" t="s">
        <v>41</v>
      </c>
      <c r="F246">
        <v>118944</v>
      </c>
      <c r="G246">
        <v>5</v>
      </c>
      <c r="H246">
        <v>1</v>
      </c>
      <c r="I246">
        <v>2</v>
      </c>
      <c r="J246" s="31" t="s">
        <v>19</v>
      </c>
      <c r="K246">
        <v>5</v>
      </c>
      <c r="L246" s="31" t="s">
        <v>20</v>
      </c>
      <c r="M246" s="31" t="s">
        <v>30</v>
      </c>
      <c r="N246">
        <v>45</v>
      </c>
      <c r="O246" s="31" t="s">
        <v>42</v>
      </c>
    </row>
    <row r="247" spans="1:15" x14ac:dyDescent="0.25">
      <c r="A247" s="31" t="s">
        <v>284</v>
      </c>
      <c r="B247">
        <v>28</v>
      </c>
      <c r="C247" s="31" t="s">
        <v>28</v>
      </c>
      <c r="D247" s="31" t="s">
        <v>51</v>
      </c>
      <c r="E247" s="31" t="s">
        <v>33</v>
      </c>
      <c r="F247">
        <v>58410</v>
      </c>
      <c r="G247">
        <v>4</v>
      </c>
      <c r="H247">
        <v>3</v>
      </c>
      <c r="I247">
        <v>1</v>
      </c>
      <c r="J247" s="31" t="s">
        <v>19</v>
      </c>
      <c r="K247">
        <v>5</v>
      </c>
      <c r="L247" s="31" t="s">
        <v>20</v>
      </c>
      <c r="M247" s="31" t="s">
        <v>26</v>
      </c>
      <c r="N247">
        <v>10</v>
      </c>
      <c r="O247" s="31" t="s">
        <v>44</v>
      </c>
    </row>
    <row r="248" spans="1:15" x14ac:dyDescent="0.25">
      <c r="A248" s="31" t="s">
        <v>285</v>
      </c>
      <c r="B248">
        <v>41</v>
      </c>
      <c r="C248" s="31" t="s">
        <v>16</v>
      </c>
      <c r="D248" s="31" t="s">
        <v>40</v>
      </c>
      <c r="E248" s="31" t="s">
        <v>38</v>
      </c>
      <c r="F248">
        <v>50534</v>
      </c>
      <c r="G248">
        <v>3</v>
      </c>
      <c r="H248">
        <v>4</v>
      </c>
      <c r="I248">
        <v>5</v>
      </c>
      <c r="J248" s="31" t="s">
        <v>19</v>
      </c>
      <c r="K248">
        <v>9</v>
      </c>
      <c r="L248" s="31" t="s">
        <v>20</v>
      </c>
      <c r="M248" s="31" t="s">
        <v>21</v>
      </c>
      <c r="N248">
        <v>8</v>
      </c>
      <c r="O248" s="31" t="s">
        <v>42</v>
      </c>
    </row>
    <row r="249" spans="1:15" x14ac:dyDescent="0.25">
      <c r="A249" s="31" t="s">
        <v>286</v>
      </c>
      <c r="B249">
        <v>49</v>
      </c>
      <c r="C249" s="31" t="s">
        <v>16</v>
      </c>
      <c r="D249" s="31" t="s">
        <v>40</v>
      </c>
      <c r="E249" s="31" t="s">
        <v>33</v>
      </c>
      <c r="F249">
        <v>31357</v>
      </c>
      <c r="G249">
        <v>2</v>
      </c>
      <c r="H249">
        <v>1</v>
      </c>
      <c r="I249">
        <v>1</v>
      </c>
      <c r="J249" s="31" t="s">
        <v>19</v>
      </c>
      <c r="K249">
        <v>7</v>
      </c>
      <c r="L249" s="31" t="s">
        <v>19</v>
      </c>
      <c r="M249" s="31" t="s">
        <v>21</v>
      </c>
      <c r="N249">
        <v>56</v>
      </c>
      <c r="O249" s="31" t="s">
        <v>36</v>
      </c>
    </row>
    <row r="250" spans="1:15" x14ac:dyDescent="0.25">
      <c r="A250" s="31" t="s">
        <v>287</v>
      </c>
      <c r="B250">
        <v>26</v>
      </c>
      <c r="C250" s="31" t="s">
        <v>28</v>
      </c>
      <c r="D250" s="31" t="s">
        <v>40</v>
      </c>
      <c r="E250" s="31" t="s">
        <v>35</v>
      </c>
      <c r="F250">
        <v>26450</v>
      </c>
      <c r="G250">
        <v>2</v>
      </c>
      <c r="H250">
        <v>4</v>
      </c>
      <c r="I250">
        <v>2</v>
      </c>
      <c r="J250" s="31" t="s">
        <v>19</v>
      </c>
      <c r="K250">
        <v>10</v>
      </c>
      <c r="L250" s="31" t="s">
        <v>19</v>
      </c>
      <c r="M250" s="31" t="s">
        <v>21</v>
      </c>
      <c r="N250">
        <v>64</v>
      </c>
      <c r="O250" s="31" t="s">
        <v>22</v>
      </c>
    </row>
    <row r="251" spans="1:15" x14ac:dyDescent="0.25">
      <c r="A251" s="31" t="s">
        <v>288</v>
      </c>
      <c r="B251">
        <v>31</v>
      </c>
      <c r="C251" s="31" t="s">
        <v>28</v>
      </c>
      <c r="D251" s="31" t="s">
        <v>17</v>
      </c>
      <c r="E251" s="31" t="s">
        <v>33</v>
      </c>
      <c r="F251">
        <v>83028</v>
      </c>
      <c r="G251">
        <v>1</v>
      </c>
      <c r="H251">
        <v>4</v>
      </c>
      <c r="I251">
        <v>4</v>
      </c>
      <c r="J251" s="31" t="s">
        <v>19</v>
      </c>
      <c r="K251">
        <v>11</v>
      </c>
      <c r="L251" s="31" t="s">
        <v>19</v>
      </c>
      <c r="M251" s="31" t="s">
        <v>21</v>
      </c>
      <c r="N251">
        <v>40</v>
      </c>
      <c r="O251" s="31" t="s">
        <v>36</v>
      </c>
    </row>
    <row r="252" spans="1:15" x14ac:dyDescent="0.25">
      <c r="A252" s="31" t="s">
        <v>289</v>
      </c>
      <c r="B252">
        <v>39</v>
      </c>
      <c r="C252" s="31" t="s">
        <v>16</v>
      </c>
      <c r="D252" s="31" t="s">
        <v>40</v>
      </c>
      <c r="E252" s="31" t="s">
        <v>25</v>
      </c>
      <c r="F252">
        <v>99156</v>
      </c>
      <c r="G252">
        <v>5</v>
      </c>
      <c r="H252">
        <v>2</v>
      </c>
      <c r="I252">
        <v>3</v>
      </c>
      <c r="J252" s="31" t="s">
        <v>20</v>
      </c>
      <c r="K252">
        <v>13</v>
      </c>
      <c r="L252" s="31" t="s">
        <v>20</v>
      </c>
      <c r="M252" s="31" t="s">
        <v>21</v>
      </c>
      <c r="N252">
        <v>16</v>
      </c>
      <c r="O252" s="31" t="s">
        <v>36</v>
      </c>
    </row>
    <row r="253" spans="1:15" x14ac:dyDescent="0.25">
      <c r="A253" s="31" t="s">
        <v>290</v>
      </c>
      <c r="B253">
        <v>45</v>
      </c>
      <c r="C253" s="31" t="s">
        <v>16</v>
      </c>
      <c r="D253" s="31" t="s">
        <v>49</v>
      </c>
      <c r="E253" s="31" t="s">
        <v>41</v>
      </c>
      <c r="F253">
        <v>102233</v>
      </c>
      <c r="G253">
        <v>5</v>
      </c>
      <c r="H253">
        <v>2</v>
      </c>
      <c r="I253">
        <v>5</v>
      </c>
      <c r="J253" s="31" t="s">
        <v>19</v>
      </c>
      <c r="K253">
        <v>12</v>
      </c>
      <c r="L253" s="31" t="s">
        <v>20</v>
      </c>
      <c r="M253" s="31" t="s">
        <v>30</v>
      </c>
      <c r="N253">
        <v>74</v>
      </c>
      <c r="O253" s="31" t="s">
        <v>42</v>
      </c>
    </row>
    <row r="254" spans="1:15" x14ac:dyDescent="0.25">
      <c r="A254" s="31" t="s">
        <v>291</v>
      </c>
      <c r="B254">
        <v>43</v>
      </c>
      <c r="C254" s="31" t="s">
        <v>28</v>
      </c>
      <c r="D254" s="31" t="s">
        <v>49</v>
      </c>
      <c r="E254" s="31" t="s">
        <v>18</v>
      </c>
      <c r="F254">
        <v>41568</v>
      </c>
      <c r="G254">
        <v>1</v>
      </c>
      <c r="H254">
        <v>3</v>
      </c>
      <c r="I254">
        <v>5</v>
      </c>
      <c r="J254" s="31" t="s">
        <v>19</v>
      </c>
      <c r="K254">
        <v>0</v>
      </c>
      <c r="L254" s="31" t="s">
        <v>20</v>
      </c>
      <c r="M254" s="31" t="s">
        <v>21</v>
      </c>
      <c r="N254">
        <v>65</v>
      </c>
      <c r="O254" s="31" t="s">
        <v>31</v>
      </c>
    </row>
    <row r="255" spans="1:15" x14ac:dyDescent="0.25">
      <c r="A255" s="31" t="s">
        <v>292</v>
      </c>
      <c r="B255">
        <v>43</v>
      </c>
      <c r="C255" s="31" t="s">
        <v>16</v>
      </c>
      <c r="D255" s="31" t="s">
        <v>51</v>
      </c>
      <c r="E255" s="31" t="s">
        <v>35</v>
      </c>
      <c r="F255">
        <v>50487</v>
      </c>
      <c r="G255">
        <v>2</v>
      </c>
      <c r="H255">
        <v>3</v>
      </c>
      <c r="I255">
        <v>5</v>
      </c>
      <c r="J255" s="31" t="s">
        <v>19</v>
      </c>
      <c r="K255">
        <v>7</v>
      </c>
      <c r="L255" s="31" t="s">
        <v>20</v>
      </c>
      <c r="M255" s="31" t="s">
        <v>30</v>
      </c>
      <c r="N255">
        <v>27</v>
      </c>
      <c r="O255" s="31" t="s">
        <v>44</v>
      </c>
    </row>
    <row r="256" spans="1:15" x14ac:dyDescent="0.25">
      <c r="A256" s="31" t="s">
        <v>293</v>
      </c>
      <c r="B256">
        <v>36</v>
      </c>
      <c r="C256" s="31" t="s">
        <v>28</v>
      </c>
      <c r="D256" s="31" t="s">
        <v>17</v>
      </c>
      <c r="E256" s="31" t="s">
        <v>38</v>
      </c>
      <c r="F256">
        <v>65026</v>
      </c>
      <c r="G256">
        <v>5</v>
      </c>
      <c r="H256">
        <v>1</v>
      </c>
      <c r="I256">
        <v>3</v>
      </c>
      <c r="J256" s="31" t="s">
        <v>19</v>
      </c>
      <c r="K256">
        <v>18</v>
      </c>
      <c r="L256" s="31" t="s">
        <v>19</v>
      </c>
      <c r="M256" s="31" t="s">
        <v>30</v>
      </c>
      <c r="N256">
        <v>74</v>
      </c>
      <c r="O256" s="31" t="s">
        <v>36</v>
      </c>
    </row>
    <row r="257" spans="1:15" x14ac:dyDescent="0.25">
      <c r="A257" s="31" t="s">
        <v>294</v>
      </c>
      <c r="B257">
        <v>32</v>
      </c>
      <c r="C257" s="31" t="s">
        <v>28</v>
      </c>
      <c r="D257" s="31" t="s">
        <v>40</v>
      </c>
      <c r="E257" s="31" t="s">
        <v>35</v>
      </c>
      <c r="F257">
        <v>25362</v>
      </c>
      <c r="G257">
        <v>2</v>
      </c>
      <c r="H257">
        <v>5</v>
      </c>
      <c r="I257">
        <v>2</v>
      </c>
      <c r="J257" s="31" t="s">
        <v>19</v>
      </c>
      <c r="K257">
        <v>16</v>
      </c>
      <c r="L257" s="31" t="s">
        <v>20</v>
      </c>
      <c r="M257" s="31" t="s">
        <v>21</v>
      </c>
      <c r="N257">
        <v>47</v>
      </c>
      <c r="O257" s="31" t="s">
        <v>31</v>
      </c>
    </row>
    <row r="258" spans="1:15" x14ac:dyDescent="0.25">
      <c r="A258" s="31" t="s">
        <v>295</v>
      </c>
      <c r="B258">
        <v>33</v>
      </c>
      <c r="C258" s="31" t="s">
        <v>16</v>
      </c>
      <c r="D258" s="31" t="s">
        <v>29</v>
      </c>
      <c r="E258" s="31" t="s">
        <v>38</v>
      </c>
      <c r="F258">
        <v>41260</v>
      </c>
      <c r="G258">
        <v>3</v>
      </c>
      <c r="H258">
        <v>1</v>
      </c>
      <c r="I258">
        <v>1</v>
      </c>
      <c r="J258" s="31" t="s">
        <v>19</v>
      </c>
      <c r="K258">
        <v>18</v>
      </c>
      <c r="L258" s="31" t="s">
        <v>19</v>
      </c>
      <c r="M258" s="31" t="s">
        <v>21</v>
      </c>
      <c r="N258">
        <v>72</v>
      </c>
      <c r="O258" s="31" t="s">
        <v>36</v>
      </c>
    </row>
    <row r="259" spans="1:15" x14ac:dyDescent="0.25">
      <c r="A259" s="31" t="s">
        <v>296</v>
      </c>
      <c r="B259">
        <v>25</v>
      </c>
      <c r="C259" s="31" t="s">
        <v>28</v>
      </c>
      <c r="D259" s="31" t="s">
        <v>17</v>
      </c>
      <c r="E259" s="31" t="s">
        <v>38</v>
      </c>
      <c r="F259">
        <v>69851</v>
      </c>
      <c r="G259">
        <v>5</v>
      </c>
      <c r="H259">
        <v>1</v>
      </c>
      <c r="I259">
        <v>3</v>
      </c>
      <c r="J259" s="31" t="s">
        <v>20</v>
      </c>
      <c r="K259">
        <v>10</v>
      </c>
      <c r="L259" s="31" t="s">
        <v>19</v>
      </c>
      <c r="M259" s="31" t="s">
        <v>21</v>
      </c>
      <c r="N259">
        <v>60</v>
      </c>
      <c r="O259" s="31" t="s">
        <v>42</v>
      </c>
    </row>
    <row r="260" spans="1:15" x14ac:dyDescent="0.25">
      <c r="A260" s="31" t="s">
        <v>297</v>
      </c>
      <c r="B260">
        <v>41</v>
      </c>
      <c r="C260" s="31" t="s">
        <v>16</v>
      </c>
      <c r="D260" s="31" t="s">
        <v>17</v>
      </c>
      <c r="E260" s="31" t="s">
        <v>25</v>
      </c>
      <c r="F260">
        <v>108906</v>
      </c>
      <c r="G260">
        <v>5</v>
      </c>
      <c r="H260">
        <v>3</v>
      </c>
      <c r="I260">
        <v>2</v>
      </c>
      <c r="J260" s="31" t="s">
        <v>19</v>
      </c>
      <c r="K260">
        <v>12</v>
      </c>
      <c r="L260" s="31" t="s">
        <v>20</v>
      </c>
      <c r="M260" s="31" t="s">
        <v>26</v>
      </c>
      <c r="N260">
        <v>42</v>
      </c>
      <c r="O260" s="31" t="s">
        <v>44</v>
      </c>
    </row>
    <row r="261" spans="1:15" x14ac:dyDescent="0.25">
      <c r="A261" s="31" t="s">
        <v>298</v>
      </c>
      <c r="B261">
        <v>32</v>
      </c>
      <c r="C261" s="31" t="s">
        <v>16</v>
      </c>
      <c r="D261" s="31" t="s">
        <v>17</v>
      </c>
      <c r="E261" s="31" t="s">
        <v>25</v>
      </c>
      <c r="F261">
        <v>69327</v>
      </c>
      <c r="G261">
        <v>5</v>
      </c>
      <c r="H261">
        <v>1</v>
      </c>
      <c r="I261">
        <v>2</v>
      </c>
      <c r="J261" s="31" t="s">
        <v>20</v>
      </c>
      <c r="K261">
        <v>19</v>
      </c>
      <c r="L261" s="31" t="s">
        <v>19</v>
      </c>
      <c r="M261" s="31" t="s">
        <v>26</v>
      </c>
      <c r="N261">
        <v>77</v>
      </c>
      <c r="O261" s="31" t="s">
        <v>22</v>
      </c>
    </row>
    <row r="262" spans="1:15" x14ac:dyDescent="0.25">
      <c r="A262" s="31" t="s">
        <v>299</v>
      </c>
      <c r="B262">
        <v>52</v>
      </c>
      <c r="C262" s="31" t="s">
        <v>16</v>
      </c>
      <c r="D262" s="31" t="s">
        <v>29</v>
      </c>
      <c r="E262" s="31" t="s">
        <v>38</v>
      </c>
      <c r="F262">
        <v>28198</v>
      </c>
      <c r="G262">
        <v>2</v>
      </c>
      <c r="H262">
        <v>3</v>
      </c>
      <c r="I262">
        <v>3</v>
      </c>
      <c r="J262" s="31" t="s">
        <v>19</v>
      </c>
      <c r="K262">
        <v>20</v>
      </c>
      <c r="L262" s="31" t="s">
        <v>19</v>
      </c>
      <c r="M262" s="31" t="s">
        <v>26</v>
      </c>
      <c r="N262">
        <v>47</v>
      </c>
      <c r="O262" s="31" t="s">
        <v>42</v>
      </c>
    </row>
    <row r="263" spans="1:15" x14ac:dyDescent="0.25">
      <c r="A263" s="31" t="s">
        <v>300</v>
      </c>
      <c r="B263">
        <v>21</v>
      </c>
      <c r="C263" s="31" t="s">
        <v>28</v>
      </c>
      <c r="D263" s="31" t="s">
        <v>51</v>
      </c>
      <c r="E263" s="31" t="s">
        <v>41</v>
      </c>
      <c r="F263">
        <v>108855</v>
      </c>
      <c r="G263">
        <v>1</v>
      </c>
      <c r="H263">
        <v>3</v>
      </c>
      <c r="I263">
        <v>3</v>
      </c>
      <c r="J263" s="31" t="s">
        <v>19</v>
      </c>
      <c r="K263">
        <v>0</v>
      </c>
      <c r="L263" s="31" t="s">
        <v>19</v>
      </c>
      <c r="M263" s="31" t="s">
        <v>30</v>
      </c>
      <c r="N263">
        <v>61</v>
      </c>
      <c r="O263" s="31" t="s">
        <v>42</v>
      </c>
    </row>
    <row r="264" spans="1:15" x14ac:dyDescent="0.25">
      <c r="A264" s="31" t="s">
        <v>301</v>
      </c>
      <c r="B264">
        <v>31</v>
      </c>
      <c r="C264" s="31" t="s">
        <v>28</v>
      </c>
      <c r="D264" s="31" t="s">
        <v>49</v>
      </c>
      <c r="E264" s="31" t="s">
        <v>33</v>
      </c>
      <c r="F264">
        <v>64036</v>
      </c>
      <c r="G264">
        <v>5</v>
      </c>
      <c r="H264">
        <v>4</v>
      </c>
      <c r="I264">
        <v>1</v>
      </c>
      <c r="J264" s="31" t="s">
        <v>20</v>
      </c>
      <c r="K264">
        <v>18</v>
      </c>
      <c r="L264" s="31" t="s">
        <v>19</v>
      </c>
      <c r="M264" s="31" t="s">
        <v>21</v>
      </c>
      <c r="N264">
        <v>62</v>
      </c>
      <c r="O264" s="31" t="s">
        <v>22</v>
      </c>
    </row>
    <row r="265" spans="1:15" x14ac:dyDescent="0.25">
      <c r="A265" s="31" t="s">
        <v>302</v>
      </c>
      <c r="B265">
        <v>23</v>
      </c>
      <c r="C265" s="31" t="s">
        <v>28</v>
      </c>
      <c r="D265" s="31" t="s">
        <v>40</v>
      </c>
      <c r="E265" s="31" t="s">
        <v>18</v>
      </c>
      <c r="F265">
        <v>52226</v>
      </c>
      <c r="G265">
        <v>1</v>
      </c>
      <c r="H265">
        <v>1</v>
      </c>
      <c r="I265">
        <v>3</v>
      </c>
      <c r="J265" s="31" t="s">
        <v>19</v>
      </c>
      <c r="K265">
        <v>12</v>
      </c>
      <c r="L265" s="31" t="s">
        <v>19</v>
      </c>
      <c r="M265" s="31" t="s">
        <v>26</v>
      </c>
      <c r="N265">
        <v>14</v>
      </c>
      <c r="O265" s="31" t="s">
        <v>31</v>
      </c>
    </row>
    <row r="266" spans="1:15" x14ac:dyDescent="0.25">
      <c r="A266" s="31" t="s">
        <v>303</v>
      </c>
      <c r="B266">
        <v>26</v>
      </c>
      <c r="C266" s="31" t="s">
        <v>28</v>
      </c>
      <c r="D266" s="31" t="s">
        <v>24</v>
      </c>
      <c r="E266" s="31" t="s">
        <v>25</v>
      </c>
      <c r="F266">
        <v>81273</v>
      </c>
      <c r="G266">
        <v>1</v>
      </c>
      <c r="H266">
        <v>4</v>
      </c>
      <c r="I266">
        <v>2</v>
      </c>
      <c r="J266" s="31" t="s">
        <v>20</v>
      </c>
      <c r="K266">
        <v>5</v>
      </c>
      <c r="L266" s="31" t="s">
        <v>19</v>
      </c>
      <c r="M266" s="31" t="s">
        <v>21</v>
      </c>
      <c r="N266">
        <v>47</v>
      </c>
      <c r="O266" s="31" t="s">
        <v>44</v>
      </c>
    </row>
    <row r="267" spans="1:15" x14ac:dyDescent="0.25">
      <c r="A267" s="31" t="s">
        <v>304</v>
      </c>
      <c r="B267">
        <v>33</v>
      </c>
      <c r="C267" s="31" t="s">
        <v>28</v>
      </c>
      <c r="D267" s="31" t="s">
        <v>17</v>
      </c>
      <c r="E267" s="31" t="s">
        <v>25</v>
      </c>
      <c r="F267">
        <v>112638</v>
      </c>
      <c r="G267">
        <v>5</v>
      </c>
      <c r="H267">
        <v>3</v>
      </c>
      <c r="I267">
        <v>3</v>
      </c>
      <c r="J267" s="31" t="s">
        <v>20</v>
      </c>
      <c r="K267">
        <v>7</v>
      </c>
      <c r="L267" s="31" t="s">
        <v>19</v>
      </c>
      <c r="M267" s="31" t="s">
        <v>21</v>
      </c>
      <c r="N267">
        <v>55</v>
      </c>
      <c r="O267" s="31" t="s">
        <v>31</v>
      </c>
    </row>
    <row r="268" spans="1:15" x14ac:dyDescent="0.25">
      <c r="A268" s="31" t="s">
        <v>305</v>
      </c>
      <c r="B268">
        <v>56</v>
      </c>
      <c r="C268" s="31" t="s">
        <v>28</v>
      </c>
      <c r="D268" s="31" t="s">
        <v>51</v>
      </c>
      <c r="E268" s="31" t="s">
        <v>35</v>
      </c>
      <c r="F268">
        <v>65294</v>
      </c>
      <c r="G268">
        <v>1</v>
      </c>
      <c r="H268">
        <v>4</v>
      </c>
      <c r="I268">
        <v>1</v>
      </c>
      <c r="J268" s="31" t="s">
        <v>20</v>
      </c>
      <c r="K268">
        <v>20</v>
      </c>
      <c r="L268" s="31" t="s">
        <v>20</v>
      </c>
      <c r="M268" s="31" t="s">
        <v>21</v>
      </c>
      <c r="N268">
        <v>17</v>
      </c>
      <c r="O268" s="31" t="s">
        <v>22</v>
      </c>
    </row>
    <row r="269" spans="1:15" x14ac:dyDescent="0.25">
      <c r="A269" s="31" t="s">
        <v>306</v>
      </c>
      <c r="B269">
        <v>39</v>
      </c>
      <c r="C269" s="31" t="s">
        <v>16</v>
      </c>
      <c r="D269" s="31" t="s">
        <v>17</v>
      </c>
      <c r="E269" s="31" t="s">
        <v>18</v>
      </c>
      <c r="F269">
        <v>28739</v>
      </c>
      <c r="G269">
        <v>4</v>
      </c>
      <c r="H269">
        <v>1</v>
      </c>
      <c r="I269">
        <v>3</v>
      </c>
      <c r="J269" s="31" t="s">
        <v>20</v>
      </c>
      <c r="K269">
        <v>15</v>
      </c>
      <c r="L269" s="31" t="s">
        <v>20</v>
      </c>
      <c r="M269" s="31" t="s">
        <v>26</v>
      </c>
      <c r="N269">
        <v>38</v>
      </c>
      <c r="O269" s="31" t="s">
        <v>22</v>
      </c>
    </row>
    <row r="270" spans="1:15" x14ac:dyDescent="0.25">
      <c r="A270" s="31" t="s">
        <v>307</v>
      </c>
      <c r="B270">
        <v>55</v>
      </c>
      <c r="C270" s="31" t="s">
        <v>28</v>
      </c>
      <c r="D270" s="31" t="s">
        <v>51</v>
      </c>
      <c r="E270" s="31" t="s">
        <v>18</v>
      </c>
      <c r="F270">
        <v>67996</v>
      </c>
      <c r="G270">
        <v>3</v>
      </c>
      <c r="H270">
        <v>2</v>
      </c>
      <c r="I270">
        <v>4</v>
      </c>
      <c r="J270" s="31" t="s">
        <v>19</v>
      </c>
      <c r="K270">
        <v>8</v>
      </c>
      <c r="L270" s="31" t="s">
        <v>20</v>
      </c>
      <c r="M270" s="31" t="s">
        <v>30</v>
      </c>
      <c r="N270">
        <v>38</v>
      </c>
      <c r="O270" s="31" t="s">
        <v>44</v>
      </c>
    </row>
    <row r="271" spans="1:15" x14ac:dyDescent="0.25">
      <c r="A271" s="31" t="s">
        <v>308</v>
      </c>
      <c r="B271">
        <v>38</v>
      </c>
      <c r="C271" s="31" t="s">
        <v>16</v>
      </c>
      <c r="D271" s="31" t="s">
        <v>51</v>
      </c>
      <c r="E271" s="31" t="s">
        <v>38</v>
      </c>
      <c r="F271">
        <v>105486</v>
      </c>
      <c r="G271">
        <v>1</v>
      </c>
      <c r="H271">
        <v>1</v>
      </c>
      <c r="I271">
        <v>3</v>
      </c>
      <c r="J271" s="31" t="s">
        <v>20</v>
      </c>
      <c r="K271">
        <v>18</v>
      </c>
      <c r="L271" s="31" t="s">
        <v>19</v>
      </c>
      <c r="M271" s="31" t="s">
        <v>26</v>
      </c>
      <c r="N271">
        <v>12</v>
      </c>
      <c r="O271" s="31" t="s">
        <v>42</v>
      </c>
    </row>
    <row r="272" spans="1:15" x14ac:dyDescent="0.25">
      <c r="A272" s="31" t="s">
        <v>309</v>
      </c>
      <c r="B272">
        <v>54</v>
      </c>
      <c r="C272" s="31" t="s">
        <v>28</v>
      </c>
      <c r="D272" s="31" t="s">
        <v>24</v>
      </c>
      <c r="E272" s="31" t="s">
        <v>38</v>
      </c>
      <c r="F272">
        <v>80236</v>
      </c>
      <c r="G272">
        <v>5</v>
      </c>
      <c r="H272">
        <v>2</v>
      </c>
      <c r="I272">
        <v>4</v>
      </c>
      <c r="J272" s="31" t="s">
        <v>20</v>
      </c>
      <c r="K272">
        <v>2</v>
      </c>
      <c r="L272" s="31" t="s">
        <v>20</v>
      </c>
      <c r="M272" s="31" t="s">
        <v>26</v>
      </c>
      <c r="N272">
        <v>9</v>
      </c>
      <c r="O272" s="31" t="s">
        <v>31</v>
      </c>
    </row>
    <row r="273" spans="1:15" x14ac:dyDescent="0.25">
      <c r="A273" s="31" t="s">
        <v>310</v>
      </c>
      <c r="B273">
        <v>57</v>
      </c>
      <c r="C273" s="31" t="s">
        <v>16</v>
      </c>
      <c r="D273" s="31" t="s">
        <v>40</v>
      </c>
      <c r="E273" s="31" t="s">
        <v>33</v>
      </c>
      <c r="F273">
        <v>40659</v>
      </c>
      <c r="G273">
        <v>2</v>
      </c>
      <c r="H273">
        <v>3</v>
      </c>
      <c r="I273">
        <v>2</v>
      </c>
      <c r="J273" s="31" t="s">
        <v>19</v>
      </c>
      <c r="K273">
        <v>1</v>
      </c>
      <c r="L273" s="31" t="s">
        <v>20</v>
      </c>
      <c r="M273" s="31" t="s">
        <v>21</v>
      </c>
      <c r="N273">
        <v>60</v>
      </c>
      <c r="O273" s="31" t="s">
        <v>44</v>
      </c>
    </row>
    <row r="274" spans="1:15" x14ac:dyDescent="0.25">
      <c r="A274" s="31" t="s">
        <v>311</v>
      </c>
      <c r="B274">
        <v>30</v>
      </c>
      <c r="C274" s="31" t="s">
        <v>28</v>
      </c>
      <c r="D274" s="31" t="s">
        <v>29</v>
      </c>
      <c r="E274" s="31" t="s">
        <v>38</v>
      </c>
      <c r="F274">
        <v>26783</v>
      </c>
      <c r="G274">
        <v>1</v>
      </c>
      <c r="H274">
        <v>4</v>
      </c>
      <c r="I274">
        <v>5</v>
      </c>
      <c r="J274" s="31" t="s">
        <v>20</v>
      </c>
      <c r="K274">
        <v>17</v>
      </c>
      <c r="L274" s="31" t="s">
        <v>20</v>
      </c>
      <c r="M274" s="31" t="s">
        <v>30</v>
      </c>
      <c r="N274">
        <v>71</v>
      </c>
      <c r="O274" s="31" t="s">
        <v>42</v>
      </c>
    </row>
    <row r="275" spans="1:15" x14ac:dyDescent="0.25">
      <c r="A275" s="31" t="s">
        <v>312</v>
      </c>
      <c r="B275">
        <v>21</v>
      </c>
      <c r="C275" s="31" t="s">
        <v>28</v>
      </c>
      <c r="D275" s="31" t="s">
        <v>40</v>
      </c>
      <c r="E275" s="31" t="s">
        <v>33</v>
      </c>
      <c r="F275">
        <v>37613</v>
      </c>
      <c r="G275">
        <v>2</v>
      </c>
      <c r="H275">
        <v>5</v>
      </c>
      <c r="I275">
        <v>5</v>
      </c>
      <c r="J275" s="31" t="s">
        <v>19</v>
      </c>
      <c r="K275">
        <v>3</v>
      </c>
      <c r="L275" s="31" t="s">
        <v>19</v>
      </c>
      <c r="M275" s="31" t="s">
        <v>30</v>
      </c>
      <c r="N275">
        <v>73</v>
      </c>
      <c r="O275" s="31" t="s">
        <v>36</v>
      </c>
    </row>
    <row r="276" spans="1:15" x14ac:dyDescent="0.25">
      <c r="A276" s="31" t="s">
        <v>313</v>
      </c>
      <c r="B276">
        <v>47</v>
      </c>
      <c r="C276" s="31" t="s">
        <v>28</v>
      </c>
      <c r="D276" s="31" t="s">
        <v>49</v>
      </c>
      <c r="E276" s="31" t="s">
        <v>38</v>
      </c>
      <c r="F276">
        <v>81646</v>
      </c>
      <c r="G276">
        <v>5</v>
      </c>
      <c r="H276">
        <v>5</v>
      </c>
      <c r="I276">
        <v>4</v>
      </c>
      <c r="J276" s="31" t="s">
        <v>19</v>
      </c>
      <c r="K276">
        <v>5</v>
      </c>
      <c r="L276" s="31" t="s">
        <v>20</v>
      </c>
      <c r="M276" s="31" t="s">
        <v>30</v>
      </c>
      <c r="N276">
        <v>23</v>
      </c>
      <c r="O276" s="31" t="s">
        <v>31</v>
      </c>
    </row>
    <row r="277" spans="1:15" x14ac:dyDescent="0.25">
      <c r="A277" s="31" t="s">
        <v>314</v>
      </c>
      <c r="B277">
        <v>46</v>
      </c>
      <c r="C277" s="31" t="s">
        <v>16</v>
      </c>
      <c r="D277" s="31" t="s">
        <v>49</v>
      </c>
      <c r="E277" s="31" t="s">
        <v>18</v>
      </c>
      <c r="F277">
        <v>108507</v>
      </c>
      <c r="G277">
        <v>2</v>
      </c>
      <c r="H277">
        <v>1</v>
      </c>
      <c r="I277">
        <v>4</v>
      </c>
      <c r="J277" s="31" t="s">
        <v>20</v>
      </c>
      <c r="K277">
        <v>11</v>
      </c>
      <c r="L277" s="31" t="s">
        <v>19</v>
      </c>
      <c r="M277" s="31" t="s">
        <v>30</v>
      </c>
      <c r="N277">
        <v>43</v>
      </c>
      <c r="O277" s="31" t="s">
        <v>36</v>
      </c>
    </row>
    <row r="278" spans="1:15" x14ac:dyDescent="0.25">
      <c r="A278" s="31" t="s">
        <v>315</v>
      </c>
      <c r="B278">
        <v>38</v>
      </c>
      <c r="C278" s="31" t="s">
        <v>28</v>
      </c>
      <c r="D278" s="31" t="s">
        <v>17</v>
      </c>
      <c r="E278" s="31" t="s">
        <v>38</v>
      </c>
      <c r="F278">
        <v>30873</v>
      </c>
      <c r="G278">
        <v>2</v>
      </c>
      <c r="H278">
        <v>2</v>
      </c>
      <c r="I278">
        <v>3</v>
      </c>
      <c r="J278" s="31" t="s">
        <v>20</v>
      </c>
      <c r="K278">
        <v>10</v>
      </c>
      <c r="L278" s="31" t="s">
        <v>20</v>
      </c>
      <c r="M278" s="31" t="s">
        <v>26</v>
      </c>
      <c r="N278">
        <v>58</v>
      </c>
      <c r="O278" s="31" t="s">
        <v>31</v>
      </c>
    </row>
    <row r="279" spans="1:15" x14ac:dyDescent="0.25">
      <c r="A279" s="31" t="s">
        <v>316</v>
      </c>
      <c r="B279">
        <v>26</v>
      </c>
      <c r="C279" s="31" t="s">
        <v>16</v>
      </c>
      <c r="D279" s="31" t="s">
        <v>49</v>
      </c>
      <c r="E279" s="31" t="s">
        <v>41</v>
      </c>
      <c r="F279">
        <v>71368</v>
      </c>
      <c r="G279">
        <v>4</v>
      </c>
      <c r="H279">
        <v>5</v>
      </c>
      <c r="I279">
        <v>3</v>
      </c>
      <c r="J279" s="31" t="s">
        <v>19</v>
      </c>
      <c r="K279">
        <v>16</v>
      </c>
      <c r="L279" s="31" t="s">
        <v>19</v>
      </c>
      <c r="M279" s="31" t="s">
        <v>21</v>
      </c>
      <c r="N279">
        <v>44</v>
      </c>
      <c r="O279" s="31" t="s">
        <v>31</v>
      </c>
    </row>
    <row r="280" spans="1:15" x14ac:dyDescent="0.25">
      <c r="A280" s="31" t="s">
        <v>317</v>
      </c>
      <c r="B280">
        <v>46</v>
      </c>
      <c r="C280" s="31" t="s">
        <v>16</v>
      </c>
      <c r="D280" s="31" t="s">
        <v>24</v>
      </c>
      <c r="E280" s="31" t="s">
        <v>25</v>
      </c>
      <c r="F280">
        <v>21794</v>
      </c>
      <c r="G280">
        <v>2</v>
      </c>
      <c r="H280">
        <v>2</v>
      </c>
      <c r="I280">
        <v>2</v>
      </c>
      <c r="J280" s="31" t="s">
        <v>19</v>
      </c>
      <c r="K280">
        <v>7</v>
      </c>
      <c r="L280" s="31" t="s">
        <v>19</v>
      </c>
      <c r="M280" s="31" t="s">
        <v>30</v>
      </c>
      <c r="N280">
        <v>11</v>
      </c>
      <c r="O280" s="31" t="s">
        <v>36</v>
      </c>
    </row>
    <row r="281" spans="1:15" x14ac:dyDescent="0.25">
      <c r="A281" s="31" t="s">
        <v>318</v>
      </c>
      <c r="B281">
        <v>33</v>
      </c>
      <c r="C281" s="31" t="s">
        <v>28</v>
      </c>
      <c r="D281" s="31" t="s">
        <v>29</v>
      </c>
      <c r="E281" s="31" t="s">
        <v>33</v>
      </c>
      <c r="F281">
        <v>84207</v>
      </c>
      <c r="G281">
        <v>4</v>
      </c>
      <c r="H281">
        <v>1</v>
      </c>
      <c r="I281">
        <v>1</v>
      </c>
      <c r="J281" s="31" t="s">
        <v>19</v>
      </c>
      <c r="K281">
        <v>11</v>
      </c>
      <c r="L281" s="31" t="s">
        <v>20</v>
      </c>
      <c r="M281" s="31" t="s">
        <v>26</v>
      </c>
      <c r="N281">
        <v>62</v>
      </c>
      <c r="O281" s="31" t="s">
        <v>44</v>
      </c>
    </row>
    <row r="282" spans="1:15" x14ac:dyDescent="0.25">
      <c r="A282" s="31" t="s">
        <v>319</v>
      </c>
      <c r="B282">
        <v>51</v>
      </c>
      <c r="C282" s="31" t="s">
        <v>28</v>
      </c>
      <c r="D282" s="31" t="s">
        <v>29</v>
      </c>
      <c r="E282" s="31" t="s">
        <v>41</v>
      </c>
      <c r="F282">
        <v>51903</v>
      </c>
      <c r="G282">
        <v>1</v>
      </c>
      <c r="H282">
        <v>3</v>
      </c>
      <c r="I282">
        <v>1</v>
      </c>
      <c r="J282" s="31" t="s">
        <v>20</v>
      </c>
      <c r="K282">
        <v>1</v>
      </c>
      <c r="L282" s="31" t="s">
        <v>19</v>
      </c>
      <c r="M282" s="31" t="s">
        <v>26</v>
      </c>
      <c r="N282">
        <v>32</v>
      </c>
      <c r="O282" s="31" t="s">
        <v>44</v>
      </c>
    </row>
    <row r="283" spans="1:15" x14ac:dyDescent="0.25">
      <c r="A283" s="31" t="s">
        <v>320</v>
      </c>
      <c r="B283">
        <v>35</v>
      </c>
      <c r="C283" s="31" t="s">
        <v>16</v>
      </c>
      <c r="D283" s="31" t="s">
        <v>29</v>
      </c>
      <c r="E283" s="31" t="s">
        <v>38</v>
      </c>
      <c r="F283">
        <v>71674</v>
      </c>
      <c r="G283">
        <v>5</v>
      </c>
      <c r="H283">
        <v>1</v>
      </c>
      <c r="I283">
        <v>1</v>
      </c>
      <c r="J283" s="31" t="s">
        <v>20</v>
      </c>
      <c r="K283">
        <v>4</v>
      </c>
      <c r="L283" s="31" t="s">
        <v>19</v>
      </c>
      <c r="M283" s="31" t="s">
        <v>26</v>
      </c>
      <c r="N283">
        <v>6</v>
      </c>
      <c r="O283" s="31" t="s">
        <v>44</v>
      </c>
    </row>
    <row r="284" spans="1:15" x14ac:dyDescent="0.25">
      <c r="A284" s="31" t="s">
        <v>321</v>
      </c>
      <c r="B284">
        <v>37</v>
      </c>
      <c r="C284" s="31" t="s">
        <v>28</v>
      </c>
      <c r="D284" s="31" t="s">
        <v>17</v>
      </c>
      <c r="E284" s="31" t="s">
        <v>38</v>
      </c>
      <c r="F284">
        <v>102245</v>
      </c>
      <c r="G284">
        <v>3</v>
      </c>
      <c r="H284">
        <v>4</v>
      </c>
      <c r="I284">
        <v>4</v>
      </c>
      <c r="J284" s="31" t="s">
        <v>20</v>
      </c>
      <c r="K284">
        <v>14</v>
      </c>
      <c r="L284" s="31" t="s">
        <v>20</v>
      </c>
      <c r="M284" s="31" t="s">
        <v>21</v>
      </c>
      <c r="N284">
        <v>64</v>
      </c>
      <c r="O284" s="31" t="s">
        <v>36</v>
      </c>
    </row>
    <row r="285" spans="1:15" x14ac:dyDescent="0.25">
      <c r="A285" s="31" t="s">
        <v>322</v>
      </c>
      <c r="B285">
        <v>39</v>
      </c>
      <c r="C285" s="31" t="s">
        <v>28</v>
      </c>
      <c r="D285" s="31" t="s">
        <v>24</v>
      </c>
      <c r="E285" s="31" t="s">
        <v>35</v>
      </c>
      <c r="F285">
        <v>18963</v>
      </c>
      <c r="G285">
        <v>5</v>
      </c>
      <c r="H285">
        <v>3</v>
      </c>
      <c r="I285">
        <v>5</v>
      </c>
      <c r="J285" s="31" t="s">
        <v>20</v>
      </c>
      <c r="K285">
        <v>9</v>
      </c>
      <c r="L285" s="31" t="s">
        <v>19</v>
      </c>
      <c r="M285" s="31" t="s">
        <v>30</v>
      </c>
      <c r="N285">
        <v>13</v>
      </c>
      <c r="O285" s="31" t="s">
        <v>36</v>
      </c>
    </row>
    <row r="286" spans="1:15" x14ac:dyDescent="0.25">
      <c r="A286" s="31" t="s">
        <v>323</v>
      </c>
      <c r="B286">
        <v>38</v>
      </c>
      <c r="C286" s="31" t="s">
        <v>28</v>
      </c>
      <c r="D286" s="31" t="s">
        <v>29</v>
      </c>
      <c r="E286" s="31" t="s">
        <v>18</v>
      </c>
      <c r="F286">
        <v>103998</v>
      </c>
      <c r="G286">
        <v>3</v>
      </c>
      <c r="H286">
        <v>2</v>
      </c>
      <c r="I286">
        <v>2</v>
      </c>
      <c r="J286" s="31" t="s">
        <v>19</v>
      </c>
      <c r="K286">
        <v>1</v>
      </c>
      <c r="L286" s="31" t="s">
        <v>20</v>
      </c>
      <c r="M286" s="31" t="s">
        <v>26</v>
      </c>
      <c r="N286">
        <v>45</v>
      </c>
      <c r="O286" s="31" t="s">
        <v>44</v>
      </c>
    </row>
    <row r="287" spans="1:15" x14ac:dyDescent="0.25">
      <c r="A287" s="31" t="s">
        <v>324</v>
      </c>
      <c r="B287">
        <v>22</v>
      </c>
      <c r="C287" s="31" t="s">
        <v>28</v>
      </c>
      <c r="D287" s="31" t="s">
        <v>29</v>
      </c>
      <c r="E287" s="31" t="s">
        <v>18</v>
      </c>
      <c r="F287">
        <v>72862</v>
      </c>
      <c r="G287">
        <v>4</v>
      </c>
      <c r="H287">
        <v>4</v>
      </c>
      <c r="I287">
        <v>1</v>
      </c>
      <c r="J287" s="31" t="s">
        <v>19</v>
      </c>
      <c r="K287">
        <v>10</v>
      </c>
      <c r="L287" s="31" t="s">
        <v>19</v>
      </c>
      <c r="M287" s="31" t="s">
        <v>26</v>
      </c>
      <c r="N287">
        <v>73</v>
      </c>
      <c r="O287" s="31" t="s">
        <v>42</v>
      </c>
    </row>
    <row r="288" spans="1:15" x14ac:dyDescent="0.25">
      <c r="A288" s="31" t="s">
        <v>325</v>
      </c>
      <c r="B288">
        <v>43</v>
      </c>
      <c r="C288" s="31" t="s">
        <v>28</v>
      </c>
      <c r="D288" s="31" t="s">
        <v>51</v>
      </c>
      <c r="E288" s="31" t="s">
        <v>38</v>
      </c>
      <c r="F288">
        <v>91170</v>
      </c>
      <c r="G288">
        <v>2</v>
      </c>
      <c r="H288">
        <v>3</v>
      </c>
      <c r="I288">
        <v>1</v>
      </c>
      <c r="J288" s="31" t="s">
        <v>20</v>
      </c>
      <c r="K288">
        <v>4</v>
      </c>
      <c r="L288" s="31" t="s">
        <v>20</v>
      </c>
      <c r="M288" s="31" t="s">
        <v>26</v>
      </c>
      <c r="N288">
        <v>76</v>
      </c>
      <c r="O288" s="31" t="s">
        <v>44</v>
      </c>
    </row>
    <row r="289" spans="1:15" x14ac:dyDescent="0.25">
      <c r="A289" s="31" t="s">
        <v>326</v>
      </c>
      <c r="B289">
        <v>42</v>
      </c>
      <c r="C289" s="31" t="s">
        <v>16</v>
      </c>
      <c r="D289" s="31" t="s">
        <v>51</v>
      </c>
      <c r="E289" s="31" t="s">
        <v>18</v>
      </c>
      <c r="F289">
        <v>47272</v>
      </c>
      <c r="G289">
        <v>3</v>
      </c>
      <c r="H289">
        <v>4</v>
      </c>
      <c r="I289">
        <v>3</v>
      </c>
      <c r="J289" s="31" t="s">
        <v>20</v>
      </c>
      <c r="K289">
        <v>8</v>
      </c>
      <c r="L289" s="31" t="s">
        <v>20</v>
      </c>
      <c r="M289" s="31" t="s">
        <v>30</v>
      </c>
      <c r="N289">
        <v>20</v>
      </c>
      <c r="O289" s="31" t="s">
        <v>42</v>
      </c>
    </row>
    <row r="290" spans="1:15" x14ac:dyDescent="0.25">
      <c r="A290" s="31" t="s">
        <v>327</v>
      </c>
      <c r="B290">
        <v>24</v>
      </c>
      <c r="C290" s="31" t="s">
        <v>16</v>
      </c>
      <c r="D290" s="31" t="s">
        <v>49</v>
      </c>
      <c r="E290" s="31" t="s">
        <v>41</v>
      </c>
      <c r="F290">
        <v>83598</v>
      </c>
      <c r="G290">
        <v>1</v>
      </c>
      <c r="H290">
        <v>4</v>
      </c>
      <c r="I290">
        <v>5</v>
      </c>
      <c r="J290" s="31" t="s">
        <v>20</v>
      </c>
      <c r="K290">
        <v>13</v>
      </c>
      <c r="L290" s="31" t="s">
        <v>19</v>
      </c>
      <c r="M290" s="31" t="s">
        <v>21</v>
      </c>
      <c r="N290">
        <v>22</v>
      </c>
      <c r="O290" s="31" t="s">
        <v>44</v>
      </c>
    </row>
    <row r="291" spans="1:15" x14ac:dyDescent="0.25">
      <c r="A291" s="31" t="s">
        <v>328</v>
      </c>
      <c r="B291">
        <v>42</v>
      </c>
      <c r="C291" s="31" t="s">
        <v>28</v>
      </c>
      <c r="D291" s="31" t="s">
        <v>24</v>
      </c>
      <c r="E291" s="31" t="s">
        <v>33</v>
      </c>
      <c r="F291">
        <v>36772</v>
      </c>
      <c r="G291">
        <v>3</v>
      </c>
      <c r="H291">
        <v>2</v>
      </c>
      <c r="I291">
        <v>1</v>
      </c>
      <c r="J291" s="31" t="s">
        <v>20</v>
      </c>
      <c r="K291">
        <v>10</v>
      </c>
      <c r="L291" s="31" t="s">
        <v>19</v>
      </c>
      <c r="M291" s="31" t="s">
        <v>30</v>
      </c>
      <c r="N291">
        <v>12</v>
      </c>
      <c r="O291" s="31" t="s">
        <v>22</v>
      </c>
    </row>
    <row r="292" spans="1:15" x14ac:dyDescent="0.25">
      <c r="A292" s="31" t="s">
        <v>329</v>
      </c>
      <c r="B292">
        <v>49</v>
      </c>
      <c r="C292" s="31" t="s">
        <v>28</v>
      </c>
      <c r="D292" s="31" t="s">
        <v>51</v>
      </c>
      <c r="E292" s="31" t="s">
        <v>41</v>
      </c>
      <c r="F292">
        <v>93534</v>
      </c>
      <c r="G292">
        <v>2</v>
      </c>
      <c r="H292">
        <v>4</v>
      </c>
      <c r="I292">
        <v>1</v>
      </c>
      <c r="J292" s="31" t="s">
        <v>19</v>
      </c>
      <c r="K292">
        <v>19</v>
      </c>
      <c r="L292" s="31" t="s">
        <v>20</v>
      </c>
      <c r="M292" s="31" t="s">
        <v>26</v>
      </c>
      <c r="N292">
        <v>59</v>
      </c>
      <c r="O292" s="31" t="s">
        <v>42</v>
      </c>
    </row>
    <row r="293" spans="1:15" x14ac:dyDescent="0.25">
      <c r="A293" s="31" t="s">
        <v>330</v>
      </c>
      <c r="B293">
        <v>48</v>
      </c>
      <c r="C293" s="31" t="s">
        <v>28</v>
      </c>
      <c r="D293" s="31" t="s">
        <v>49</v>
      </c>
      <c r="E293" s="31" t="s">
        <v>35</v>
      </c>
      <c r="F293">
        <v>22944</v>
      </c>
      <c r="G293">
        <v>3</v>
      </c>
      <c r="H293">
        <v>2</v>
      </c>
      <c r="I293">
        <v>3</v>
      </c>
      <c r="J293" s="31" t="s">
        <v>19</v>
      </c>
      <c r="K293">
        <v>10</v>
      </c>
      <c r="L293" s="31" t="s">
        <v>19</v>
      </c>
      <c r="M293" s="31" t="s">
        <v>21</v>
      </c>
      <c r="N293">
        <v>5</v>
      </c>
      <c r="O293" s="31" t="s">
        <v>44</v>
      </c>
    </row>
    <row r="294" spans="1:15" x14ac:dyDescent="0.25">
      <c r="A294" s="31" t="s">
        <v>331</v>
      </c>
      <c r="B294">
        <v>35</v>
      </c>
      <c r="C294" s="31" t="s">
        <v>28</v>
      </c>
      <c r="D294" s="31" t="s">
        <v>29</v>
      </c>
      <c r="E294" s="31" t="s">
        <v>41</v>
      </c>
      <c r="F294">
        <v>31462</v>
      </c>
      <c r="G294">
        <v>4</v>
      </c>
      <c r="H294">
        <v>5</v>
      </c>
      <c r="I294">
        <v>5</v>
      </c>
      <c r="J294" s="31" t="s">
        <v>20</v>
      </c>
      <c r="K294">
        <v>5</v>
      </c>
      <c r="L294" s="31" t="s">
        <v>19</v>
      </c>
      <c r="M294" s="31" t="s">
        <v>21</v>
      </c>
      <c r="N294">
        <v>43</v>
      </c>
      <c r="O294" s="31" t="s">
        <v>36</v>
      </c>
    </row>
    <row r="295" spans="1:15" x14ac:dyDescent="0.25">
      <c r="A295" s="31" t="s">
        <v>332</v>
      </c>
      <c r="B295">
        <v>50</v>
      </c>
      <c r="C295" s="31" t="s">
        <v>28</v>
      </c>
      <c r="D295" s="31" t="s">
        <v>49</v>
      </c>
      <c r="E295" s="31" t="s">
        <v>38</v>
      </c>
      <c r="F295">
        <v>35536</v>
      </c>
      <c r="G295">
        <v>3</v>
      </c>
      <c r="H295">
        <v>3</v>
      </c>
      <c r="I295">
        <v>3</v>
      </c>
      <c r="J295" s="31" t="s">
        <v>19</v>
      </c>
      <c r="K295">
        <v>5</v>
      </c>
      <c r="L295" s="31" t="s">
        <v>20</v>
      </c>
      <c r="M295" s="31" t="s">
        <v>21</v>
      </c>
      <c r="N295">
        <v>34</v>
      </c>
      <c r="O295" s="31" t="s">
        <v>44</v>
      </c>
    </row>
    <row r="296" spans="1:15" x14ac:dyDescent="0.25">
      <c r="A296" s="31" t="s">
        <v>333</v>
      </c>
      <c r="B296">
        <v>29</v>
      </c>
      <c r="C296" s="31" t="s">
        <v>16</v>
      </c>
      <c r="D296" s="31" t="s">
        <v>17</v>
      </c>
      <c r="E296" s="31" t="s">
        <v>35</v>
      </c>
      <c r="F296">
        <v>95292</v>
      </c>
      <c r="G296">
        <v>5</v>
      </c>
      <c r="H296">
        <v>2</v>
      </c>
      <c r="I296">
        <v>1</v>
      </c>
      <c r="J296" s="31" t="s">
        <v>20</v>
      </c>
      <c r="K296">
        <v>20</v>
      </c>
      <c r="L296" s="31" t="s">
        <v>19</v>
      </c>
      <c r="M296" s="31" t="s">
        <v>30</v>
      </c>
      <c r="N296">
        <v>37</v>
      </c>
      <c r="O296" s="31" t="s">
        <v>31</v>
      </c>
    </row>
    <row r="297" spans="1:15" x14ac:dyDescent="0.25">
      <c r="A297" s="31" t="s">
        <v>334</v>
      </c>
      <c r="B297">
        <v>39</v>
      </c>
      <c r="C297" s="31" t="s">
        <v>16</v>
      </c>
      <c r="D297" s="31" t="s">
        <v>17</v>
      </c>
      <c r="E297" s="31" t="s">
        <v>35</v>
      </c>
      <c r="F297">
        <v>103664</v>
      </c>
      <c r="G297">
        <v>1</v>
      </c>
      <c r="H297">
        <v>1</v>
      </c>
      <c r="I297">
        <v>1</v>
      </c>
      <c r="J297" s="31" t="s">
        <v>20</v>
      </c>
      <c r="K297">
        <v>14</v>
      </c>
      <c r="L297" s="31" t="s">
        <v>20</v>
      </c>
      <c r="M297" s="31" t="s">
        <v>21</v>
      </c>
      <c r="N297">
        <v>75</v>
      </c>
      <c r="O297" s="31" t="s">
        <v>36</v>
      </c>
    </row>
    <row r="298" spans="1:15" x14ac:dyDescent="0.25">
      <c r="A298" s="31" t="s">
        <v>335</v>
      </c>
      <c r="B298">
        <v>51</v>
      </c>
      <c r="C298" s="31" t="s">
        <v>16</v>
      </c>
      <c r="D298" s="31" t="s">
        <v>51</v>
      </c>
      <c r="E298" s="31" t="s">
        <v>38</v>
      </c>
      <c r="F298">
        <v>107881</v>
      </c>
      <c r="G298">
        <v>1</v>
      </c>
      <c r="H298">
        <v>3</v>
      </c>
      <c r="I298">
        <v>3</v>
      </c>
      <c r="J298" s="31" t="s">
        <v>19</v>
      </c>
      <c r="K298">
        <v>16</v>
      </c>
      <c r="L298" s="31" t="s">
        <v>20</v>
      </c>
      <c r="M298" s="31" t="s">
        <v>26</v>
      </c>
      <c r="N298">
        <v>22</v>
      </c>
      <c r="O298" s="31" t="s">
        <v>42</v>
      </c>
    </row>
    <row r="299" spans="1:15" x14ac:dyDescent="0.25">
      <c r="A299" s="31" t="s">
        <v>336</v>
      </c>
      <c r="B299">
        <v>27</v>
      </c>
      <c r="C299" s="31" t="s">
        <v>16</v>
      </c>
      <c r="D299" s="31" t="s">
        <v>29</v>
      </c>
      <c r="E299" s="31" t="s">
        <v>35</v>
      </c>
      <c r="F299">
        <v>31928</v>
      </c>
      <c r="G299">
        <v>4</v>
      </c>
      <c r="H299">
        <v>2</v>
      </c>
      <c r="I299">
        <v>5</v>
      </c>
      <c r="J299" s="31" t="s">
        <v>19</v>
      </c>
      <c r="K299">
        <v>8</v>
      </c>
      <c r="L299" s="31" t="s">
        <v>19</v>
      </c>
      <c r="M299" s="31" t="s">
        <v>30</v>
      </c>
      <c r="N299">
        <v>57</v>
      </c>
      <c r="O299" s="31" t="s">
        <v>36</v>
      </c>
    </row>
    <row r="300" spans="1:15" x14ac:dyDescent="0.25">
      <c r="A300" s="31" t="s">
        <v>337</v>
      </c>
      <c r="B300">
        <v>31</v>
      </c>
      <c r="C300" s="31" t="s">
        <v>16</v>
      </c>
      <c r="D300" s="31" t="s">
        <v>24</v>
      </c>
      <c r="E300" s="31" t="s">
        <v>33</v>
      </c>
      <c r="F300">
        <v>45222</v>
      </c>
      <c r="G300">
        <v>4</v>
      </c>
      <c r="H300">
        <v>3</v>
      </c>
      <c r="I300">
        <v>2</v>
      </c>
      <c r="J300" s="31" t="s">
        <v>19</v>
      </c>
      <c r="K300">
        <v>0</v>
      </c>
      <c r="L300" s="31" t="s">
        <v>19</v>
      </c>
      <c r="M300" s="31" t="s">
        <v>21</v>
      </c>
      <c r="N300">
        <v>78</v>
      </c>
      <c r="O300" s="31" t="s">
        <v>42</v>
      </c>
    </row>
    <row r="301" spans="1:15" x14ac:dyDescent="0.25">
      <c r="A301" s="31" t="s">
        <v>338</v>
      </c>
      <c r="B301">
        <v>30</v>
      </c>
      <c r="C301" s="31" t="s">
        <v>16</v>
      </c>
      <c r="D301" s="31" t="s">
        <v>24</v>
      </c>
      <c r="E301" s="31" t="s">
        <v>35</v>
      </c>
      <c r="F301">
        <v>112838</v>
      </c>
      <c r="G301">
        <v>1</v>
      </c>
      <c r="H301">
        <v>3</v>
      </c>
      <c r="I301">
        <v>2</v>
      </c>
      <c r="J301" s="31" t="s">
        <v>20</v>
      </c>
      <c r="K301">
        <v>9</v>
      </c>
      <c r="L301" s="31" t="s">
        <v>20</v>
      </c>
      <c r="M301" s="31" t="s">
        <v>30</v>
      </c>
      <c r="N301">
        <v>11</v>
      </c>
      <c r="O301" s="31" t="s">
        <v>22</v>
      </c>
    </row>
    <row r="302" spans="1:15" x14ac:dyDescent="0.25">
      <c r="A302" s="31" t="s">
        <v>339</v>
      </c>
      <c r="B302">
        <v>32</v>
      </c>
      <c r="C302" s="31" t="s">
        <v>16</v>
      </c>
      <c r="D302" s="31" t="s">
        <v>29</v>
      </c>
      <c r="E302" s="31" t="s">
        <v>18</v>
      </c>
      <c r="F302">
        <v>106705</v>
      </c>
      <c r="G302">
        <v>3</v>
      </c>
      <c r="H302">
        <v>4</v>
      </c>
      <c r="I302">
        <v>1</v>
      </c>
      <c r="J302" s="31" t="s">
        <v>19</v>
      </c>
      <c r="K302">
        <v>1</v>
      </c>
      <c r="L302" s="31" t="s">
        <v>19</v>
      </c>
      <c r="M302" s="31" t="s">
        <v>21</v>
      </c>
      <c r="N302">
        <v>26</v>
      </c>
      <c r="O302" s="31" t="s">
        <v>36</v>
      </c>
    </row>
    <row r="303" spans="1:15" x14ac:dyDescent="0.25">
      <c r="A303" s="31" t="s">
        <v>340</v>
      </c>
      <c r="B303">
        <v>43</v>
      </c>
      <c r="C303" s="31" t="s">
        <v>28</v>
      </c>
      <c r="D303" s="31" t="s">
        <v>24</v>
      </c>
      <c r="E303" s="31" t="s">
        <v>18</v>
      </c>
      <c r="F303">
        <v>114084</v>
      </c>
      <c r="G303">
        <v>1</v>
      </c>
      <c r="H303">
        <v>3</v>
      </c>
      <c r="I303">
        <v>3</v>
      </c>
      <c r="J303" s="31" t="s">
        <v>19</v>
      </c>
      <c r="K303">
        <v>3</v>
      </c>
      <c r="L303" s="31" t="s">
        <v>20</v>
      </c>
      <c r="M303" s="31" t="s">
        <v>30</v>
      </c>
      <c r="N303">
        <v>63</v>
      </c>
      <c r="O303" s="31" t="s">
        <v>36</v>
      </c>
    </row>
    <row r="304" spans="1:15" x14ac:dyDescent="0.25">
      <c r="A304" s="31" t="s">
        <v>341</v>
      </c>
      <c r="B304">
        <v>39</v>
      </c>
      <c r="C304" s="31" t="s">
        <v>28</v>
      </c>
      <c r="D304" s="31" t="s">
        <v>49</v>
      </c>
      <c r="E304" s="31" t="s">
        <v>38</v>
      </c>
      <c r="F304">
        <v>39860</v>
      </c>
      <c r="G304">
        <v>1</v>
      </c>
      <c r="H304">
        <v>2</v>
      </c>
      <c r="I304">
        <v>3</v>
      </c>
      <c r="J304" s="31" t="s">
        <v>19</v>
      </c>
      <c r="K304">
        <v>3</v>
      </c>
      <c r="L304" s="31" t="s">
        <v>20</v>
      </c>
      <c r="M304" s="31" t="s">
        <v>26</v>
      </c>
      <c r="N304">
        <v>66</v>
      </c>
      <c r="O304" s="31" t="s">
        <v>31</v>
      </c>
    </row>
    <row r="305" spans="1:15" x14ac:dyDescent="0.25">
      <c r="A305" s="31" t="s">
        <v>342</v>
      </c>
      <c r="B305">
        <v>49</v>
      </c>
      <c r="C305" s="31" t="s">
        <v>16</v>
      </c>
      <c r="D305" s="31" t="s">
        <v>24</v>
      </c>
      <c r="E305" s="31" t="s">
        <v>33</v>
      </c>
      <c r="F305">
        <v>65002</v>
      </c>
      <c r="G305">
        <v>5</v>
      </c>
      <c r="H305">
        <v>1</v>
      </c>
      <c r="I305">
        <v>2</v>
      </c>
      <c r="J305" s="31" t="s">
        <v>20</v>
      </c>
      <c r="K305">
        <v>15</v>
      </c>
      <c r="L305" s="31" t="s">
        <v>19</v>
      </c>
      <c r="M305" s="31" t="s">
        <v>30</v>
      </c>
      <c r="N305">
        <v>61</v>
      </c>
      <c r="O305" s="31" t="s">
        <v>22</v>
      </c>
    </row>
    <row r="306" spans="1:15" x14ac:dyDescent="0.25">
      <c r="A306" s="31" t="s">
        <v>343</v>
      </c>
      <c r="B306">
        <v>25</v>
      </c>
      <c r="C306" s="31" t="s">
        <v>28</v>
      </c>
      <c r="D306" s="31" t="s">
        <v>17</v>
      </c>
      <c r="E306" s="31" t="s">
        <v>18</v>
      </c>
      <c r="F306">
        <v>19620</v>
      </c>
      <c r="G306">
        <v>5</v>
      </c>
      <c r="H306">
        <v>5</v>
      </c>
      <c r="I306">
        <v>5</v>
      </c>
      <c r="J306" s="31" t="s">
        <v>19</v>
      </c>
      <c r="K306">
        <v>10</v>
      </c>
      <c r="L306" s="31" t="s">
        <v>19</v>
      </c>
      <c r="M306" s="31" t="s">
        <v>30</v>
      </c>
      <c r="N306">
        <v>36</v>
      </c>
      <c r="O306" s="31" t="s">
        <v>42</v>
      </c>
    </row>
    <row r="307" spans="1:15" x14ac:dyDescent="0.25">
      <c r="A307" s="31" t="s">
        <v>344</v>
      </c>
      <c r="B307">
        <v>43</v>
      </c>
      <c r="C307" s="31" t="s">
        <v>28</v>
      </c>
      <c r="D307" s="31" t="s">
        <v>51</v>
      </c>
      <c r="E307" s="31" t="s">
        <v>25</v>
      </c>
      <c r="F307">
        <v>98335</v>
      </c>
      <c r="G307">
        <v>1</v>
      </c>
      <c r="H307">
        <v>1</v>
      </c>
      <c r="I307">
        <v>2</v>
      </c>
      <c r="J307" s="31" t="s">
        <v>20</v>
      </c>
      <c r="K307">
        <v>15</v>
      </c>
      <c r="L307" s="31" t="s">
        <v>19</v>
      </c>
      <c r="M307" s="31" t="s">
        <v>21</v>
      </c>
      <c r="N307">
        <v>67</v>
      </c>
      <c r="O307" s="31" t="s">
        <v>36</v>
      </c>
    </row>
    <row r="308" spans="1:15" x14ac:dyDescent="0.25">
      <c r="A308" s="31" t="s">
        <v>345</v>
      </c>
      <c r="B308">
        <v>36</v>
      </c>
      <c r="C308" s="31" t="s">
        <v>28</v>
      </c>
      <c r="D308" s="31" t="s">
        <v>29</v>
      </c>
      <c r="E308" s="31" t="s">
        <v>35</v>
      </c>
      <c r="F308">
        <v>84444</v>
      </c>
      <c r="G308">
        <v>2</v>
      </c>
      <c r="H308">
        <v>5</v>
      </c>
      <c r="I308">
        <v>4</v>
      </c>
      <c r="J308" s="31" t="s">
        <v>20</v>
      </c>
      <c r="K308">
        <v>7</v>
      </c>
      <c r="L308" s="31" t="s">
        <v>19</v>
      </c>
      <c r="M308" s="31" t="s">
        <v>30</v>
      </c>
      <c r="N308">
        <v>61</v>
      </c>
      <c r="O308" s="31" t="s">
        <v>31</v>
      </c>
    </row>
    <row r="309" spans="1:15" x14ac:dyDescent="0.25">
      <c r="A309" s="31" t="s">
        <v>346</v>
      </c>
      <c r="B309">
        <v>49</v>
      </c>
      <c r="C309" s="31" t="s">
        <v>16</v>
      </c>
      <c r="D309" s="31" t="s">
        <v>49</v>
      </c>
      <c r="E309" s="31" t="s">
        <v>33</v>
      </c>
      <c r="F309">
        <v>59426</v>
      </c>
      <c r="G309">
        <v>1</v>
      </c>
      <c r="H309">
        <v>4</v>
      </c>
      <c r="I309">
        <v>1</v>
      </c>
      <c r="J309" s="31" t="s">
        <v>19</v>
      </c>
      <c r="K309">
        <v>12</v>
      </c>
      <c r="L309" s="31" t="s">
        <v>20</v>
      </c>
      <c r="M309" s="31" t="s">
        <v>21</v>
      </c>
      <c r="N309">
        <v>76</v>
      </c>
      <c r="O309" s="31" t="s">
        <v>31</v>
      </c>
    </row>
    <row r="310" spans="1:15" x14ac:dyDescent="0.25">
      <c r="A310" s="31" t="s">
        <v>347</v>
      </c>
      <c r="B310">
        <v>21</v>
      </c>
      <c r="C310" s="31" t="s">
        <v>16</v>
      </c>
      <c r="D310" s="31" t="s">
        <v>24</v>
      </c>
      <c r="E310" s="31" t="s">
        <v>25</v>
      </c>
      <c r="F310">
        <v>101563</v>
      </c>
      <c r="G310">
        <v>3</v>
      </c>
      <c r="H310">
        <v>5</v>
      </c>
      <c r="I310">
        <v>5</v>
      </c>
      <c r="J310" s="31" t="s">
        <v>19</v>
      </c>
      <c r="K310">
        <v>20</v>
      </c>
      <c r="L310" s="31" t="s">
        <v>20</v>
      </c>
      <c r="M310" s="31" t="s">
        <v>30</v>
      </c>
      <c r="N310">
        <v>51</v>
      </c>
      <c r="O310" s="31" t="s">
        <v>22</v>
      </c>
    </row>
    <row r="311" spans="1:15" x14ac:dyDescent="0.25">
      <c r="A311" s="31" t="s">
        <v>348</v>
      </c>
      <c r="B311">
        <v>35</v>
      </c>
      <c r="C311" s="31" t="s">
        <v>28</v>
      </c>
      <c r="D311" s="31" t="s">
        <v>29</v>
      </c>
      <c r="E311" s="31" t="s">
        <v>25</v>
      </c>
      <c r="F311">
        <v>118586</v>
      </c>
      <c r="G311">
        <v>3</v>
      </c>
      <c r="H311">
        <v>5</v>
      </c>
      <c r="I311">
        <v>4</v>
      </c>
      <c r="J311" s="31" t="s">
        <v>20</v>
      </c>
      <c r="K311">
        <v>14</v>
      </c>
      <c r="L311" s="31" t="s">
        <v>19</v>
      </c>
      <c r="M311" s="31" t="s">
        <v>21</v>
      </c>
      <c r="N311">
        <v>33</v>
      </c>
      <c r="O311" s="31" t="s">
        <v>22</v>
      </c>
    </row>
    <row r="312" spans="1:15" x14ac:dyDescent="0.25">
      <c r="A312" s="31" t="s">
        <v>349</v>
      </c>
      <c r="B312">
        <v>42</v>
      </c>
      <c r="C312" s="31" t="s">
        <v>28</v>
      </c>
      <c r="D312" s="31" t="s">
        <v>17</v>
      </c>
      <c r="E312" s="31" t="s">
        <v>18</v>
      </c>
      <c r="F312">
        <v>89786</v>
      </c>
      <c r="G312">
        <v>5</v>
      </c>
      <c r="H312">
        <v>3</v>
      </c>
      <c r="I312">
        <v>1</v>
      </c>
      <c r="J312" s="31" t="s">
        <v>19</v>
      </c>
      <c r="K312">
        <v>5</v>
      </c>
      <c r="L312" s="31" t="s">
        <v>20</v>
      </c>
      <c r="M312" s="31" t="s">
        <v>21</v>
      </c>
      <c r="N312">
        <v>57</v>
      </c>
      <c r="O312" s="31" t="s">
        <v>22</v>
      </c>
    </row>
    <row r="313" spans="1:15" x14ac:dyDescent="0.25">
      <c r="A313" s="31" t="s">
        <v>350</v>
      </c>
      <c r="B313">
        <v>37</v>
      </c>
      <c r="C313" s="31" t="s">
        <v>16</v>
      </c>
      <c r="D313" s="31" t="s">
        <v>51</v>
      </c>
      <c r="E313" s="31" t="s">
        <v>35</v>
      </c>
      <c r="F313">
        <v>69497</v>
      </c>
      <c r="G313">
        <v>2</v>
      </c>
      <c r="H313">
        <v>4</v>
      </c>
      <c r="I313">
        <v>2</v>
      </c>
      <c r="J313" s="31" t="s">
        <v>20</v>
      </c>
      <c r="K313">
        <v>3</v>
      </c>
      <c r="L313" s="31" t="s">
        <v>20</v>
      </c>
      <c r="M313" s="31" t="s">
        <v>21</v>
      </c>
      <c r="N313">
        <v>80</v>
      </c>
      <c r="O313" s="31" t="s">
        <v>22</v>
      </c>
    </row>
    <row r="314" spans="1:15" x14ac:dyDescent="0.25">
      <c r="A314" s="31" t="s">
        <v>351</v>
      </c>
      <c r="B314">
        <v>49</v>
      </c>
      <c r="C314" s="31" t="s">
        <v>28</v>
      </c>
      <c r="D314" s="31" t="s">
        <v>17</v>
      </c>
      <c r="E314" s="31" t="s">
        <v>25</v>
      </c>
      <c r="F314">
        <v>68925</v>
      </c>
      <c r="G314">
        <v>2</v>
      </c>
      <c r="H314">
        <v>4</v>
      </c>
      <c r="I314">
        <v>1</v>
      </c>
      <c r="J314" s="31" t="s">
        <v>19</v>
      </c>
      <c r="K314">
        <v>17</v>
      </c>
      <c r="L314" s="31" t="s">
        <v>20</v>
      </c>
      <c r="M314" s="31" t="s">
        <v>26</v>
      </c>
      <c r="N314">
        <v>66</v>
      </c>
      <c r="O314" s="31" t="s">
        <v>31</v>
      </c>
    </row>
    <row r="315" spans="1:15" x14ac:dyDescent="0.25">
      <c r="A315" s="31" t="s">
        <v>352</v>
      </c>
      <c r="B315">
        <v>39</v>
      </c>
      <c r="C315" s="31" t="s">
        <v>16</v>
      </c>
      <c r="D315" s="31" t="s">
        <v>17</v>
      </c>
      <c r="E315" s="31" t="s">
        <v>41</v>
      </c>
      <c r="F315">
        <v>31573</v>
      </c>
      <c r="G315">
        <v>4</v>
      </c>
      <c r="H315">
        <v>5</v>
      </c>
      <c r="I315">
        <v>5</v>
      </c>
      <c r="J315" s="31" t="s">
        <v>20</v>
      </c>
      <c r="K315">
        <v>16</v>
      </c>
      <c r="L315" s="31" t="s">
        <v>20</v>
      </c>
      <c r="M315" s="31" t="s">
        <v>30</v>
      </c>
      <c r="N315">
        <v>36</v>
      </c>
      <c r="O315" s="31" t="s">
        <v>36</v>
      </c>
    </row>
    <row r="316" spans="1:15" x14ac:dyDescent="0.25">
      <c r="A316" s="31" t="s">
        <v>353</v>
      </c>
      <c r="B316">
        <v>46</v>
      </c>
      <c r="C316" s="31" t="s">
        <v>28</v>
      </c>
      <c r="D316" s="31" t="s">
        <v>29</v>
      </c>
      <c r="E316" s="31" t="s">
        <v>33</v>
      </c>
      <c r="F316">
        <v>35481</v>
      </c>
      <c r="G316">
        <v>2</v>
      </c>
      <c r="H316">
        <v>4</v>
      </c>
      <c r="I316">
        <v>5</v>
      </c>
      <c r="J316" s="31" t="s">
        <v>20</v>
      </c>
      <c r="K316">
        <v>17</v>
      </c>
      <c r="L316" s="31" t="s">
        <v>20</v>
      </c>
      <c r="M316" s="31" t="s">
        <v>26</v>
      </c>
      <c r="N316">
        <v>75</v>
      </c>
      <c r="O316" s="31" t="s">
        <v>44</v>
      </c>
    </row>
    <row r="317" spans="1:15" x14ac:dyDescent="0.25">
      <c r="A317" s="31" t="s">
        <v>354</v>
      </c>
      <c r="B317">
        <v>33</v>
      </c>
      <c r="C317" s="31" t="s">
        <v>16</v>
      </c>
      <c r="D317" s="31" t="s">
        <v>24</v>
      </c>
      <c r="E317" s="31" t="s">
        <v>38</v>
      </c>
      <c r="F317">
        <v>56086</v>
      </c>
      <c r="G317">
        <v>3</v>
      </c>
      <c r="H317">
        <v>2</v>
      </c>
      <c r="I317">
        <v>2</v>
      </c>
      <c r="J317" s="31" t="s">
        <v>20</v>
      </c>
      <c r="K317">
        <v>3</v>
      </c>
      <c r="L317" s="31" t="s">
        <v>20</v>
      </c>
      <c r="M317" s="31" t="s">
        <v>26</v>
      </c>
      <c r="N317">
        <v>66</v>
      </c>
      <c r="O317" s="31" t="s">
        <v>31</v>
      </c>
    </row>
    <row r="318" spans="1:15" x14ac:dyDescent="0.25">
      <c r="A318" s="31" t="s">
        <v>355</v>
      </c>
      <c r="B318">
        <v>57</v>
      </c>
      <c r="C318" s="31" t="s">
        <v>28</v>
      </c>
      <c r="D318" s="31" t="s">
        <v>17</v>
      </c>
      <c r="E318" s="31" t="s">
        <v>38</v>
      </c>
      <c r="F318">
        <v>87979</v>
      </c>
      <c r="G318">
        <v>3</v>
      </c>
      <c r="H318">
        <v>4</v>
      </c>
      <c r="I318">
        <v>1</v>
      </c>
      <c r="J318" s="31" t="s">
        <v>19</v>
      </c>
      <c r="K318">
        <v>0</v>
      </c>
      <c r="L318" s="31" t="s">
        <v>20</v>
      </c>
      <c r="M318" s="31" t="s">
        <v>21</v>
      </c>
      <c r="N318">
        <v>11</v>
      </c>
      <c r="O318" s="31" t="s">
        <v>22</v>
      </c>
    </row>
    <row r="319" spans="1:15" x14ac:dyDescent="0.25">
      <c r="A319" s="31" t="s">
        <v>356</v>
      </c>
      <c r="B319">
        <v>33</v>
      </c>
      <c r="C319" s="31" t="s">
        <v>28</v>
      </c>
      <c r="D319" s="31" t="s">
        <v>51</v>
      </c>
      <c r="E319" s="31" t="s">
        <v>18</v>
      </c>
      <c r="F319">
        <v>107573</v>
      </c>
      <c r="G319">
        <v>3</v>
      </c>
      <c r="H319">
        <v>2</v>
      </c>
      <c r="I319">
        <v>1</v>
      </c>
      <c r="J319" s="31" t="s">
        <v>20</v>
      </c>
      <c r="K319">
        <v>6</v>
      </c>
      <c r="L319" s="31" t="s">
        <v>19</v>
      </c>
      <c r="M319" s="31" t="s">
        <v>30</v>
      </c>
      <c r="N319">
        <v>62</v>
      </c>
      <c r="O319" s="31" t="s">
        <v>22</v>
      </c>
    </row>
    <row r="320" spans="1:15" x14ac:dyDescent="0.25">
      <c r="A320" s="31" t="s">
        <v>357</v>
      </c>
      <c r="B320">
        <v>56</v>
      </c>
      <c r="C320" s="31" t="s">
        <v>16</v>
      </c>
      <c r="D320" s="31" t="s">
        <v>17</v>
      </c>
      <c r="E320" s="31" t="s">
        <v>38</v>
      </c>
      <c r="F320">
        <v>91566</v>
      </c>
      <c r="G320">
        <v>4</v>
      </c>
      <c r="H320">
        <v>2</v>
      </c>
      <c r="I320">
        <v>5</v>
      </c>
      <c r="J320" s="31" t="s">
        <v>20</v>
      </c>
      <c r="K320">
        <v>1</v>
      </c>
      <c r="L320" s="31" t="s">
        <v>20</v>
      </c>
      <c r="M320" s="31" t="s">
        <v>30</v>
      </c>
      <c r="N320">
        <v>58</v>
      </c>
      <c r="O320" s="31" t="s">
        <v>36</v>
      </c>
    </row>
    <row r="321" spans="1:15" x14ac:dyDescent="0.25">
      <c r="A321" s="31" t="s">
        <v>358</v>
      </c>
      <c r="B321">
        <v>56</v>
      </c>
      <c r="C321" s="31" t="s">
        <v>16</v>
      </c>
      <c r="D321" s="31" t="s">
        <v>40</v>
      </c>
      <c r="E321" s="31" t="s">
        <v>38</v>
      </c>
      <c r="F321">
        <v>50943</v>
      </c>
      <c r="G321">
        <v>2</v>
      </c>
      <c r="H321">
        <v>5</v>
      </c>
      <c r="I321">
        <v>4</v>
      </c>
      <c r="J321" s="31" t="s">
        <v>19</v>
      </c>
      <c r="K321">
        <v>20</v>
      </c>
      <c r="L321" s="31" t="s">
        <v>20</v>
      </c>
      <c r="M321" s="31" t="s">
        <v>26</v>
      </c>
      <c r="N321">
        <v>74</v>
      </c>
      <c r="O321" s="31" t="s">
        <v>31</v>
      </c>
    </row>
    <row r="322" spans="1:15" x14ac:dyDescent="0.25">
      <c r="A322" s="31" t="s">
        <v>359</v>
      </c>
      <c r="B322">
        <v>33</v>
      </c>
      <c r="C322" s="31" t="s">
        <v>16</v>
      </c>
      <c r="D322" s="31" t="s">
        <v>29</v>
      </c>
      <c r="E322" s="31" t="s">
        <v>33</v>
      </c>
      <c r="F322">
        <v>41255</v>
      </c>
      <c r="G322">
        <v>1</v>
      </c>
      <c r="H322">
        <v>2</v>
      </c>
      <c r="I322">
        <v>2</v>
      </c>
      <c r="J322" s="31" t="s">
        <v>19</v>
      </c>
      <c r="K322">
        <v>12</v>
      </c>
      <c r="L322" s="31" t="s">
        <v>19</v>
      </c>
      <c r="M322" s="31" t="s">
        <v>30</v>
      </c>
      <c r="N322">
        <v>40</v>
      </c>
      <c r="O322" s="31" t="s">
        <v>31</v>
      </c>
    </row>
    <row r="323" spans="1:15" x14ac:dyDescent="0.25">
      <c r="A323" s="31" t="s">
        <v>360</v>
      </c>
      <c r="B323">
        <v>37</v>
      </c>
      <c r="C323" s="31" t="s">
        <v>16</v>
      </c>
      <c r="D323" s="31" t="s">
        <v>51</v>
      </c>
      <c r="E323" s="31" t="s">
        <v>25</v>
      </c>
      <c r="F323">
        <v>51425</v>
      </c>
      <c r="G323">
        <v>1</v>
      </c>
      <c r="H323">
        <v>3</v>
      </c>
      <c r="I323">
        <v>4</v>
      </c>
      <c r="J323" s="31" t="s">
        <v>19</v>
      </c>
      <c r="K323">
        <v>1</v>
      </c>
      <c r="L323" s="31" t="s">
        <v>19</v>
      </c>
      <c r="M323" s="31" t="s">
        <v>30</v>
      </c>
      <c r="N323">
        <v>11</v>
      </c>
      <c r="O323" s="31" t="s">
        <v>31</v>
      </c>
    </row>
    <row r="324" spans="1:15" x14ac:dyDescent="0.25">
      <c r="A324" s="31" t="s">
        <v>361</v>
      </c>
      <c r="B324">
        <v>40</v>
      </c>
      <c r="C324" s="31" t="s">
        <v>28</v>
      </c>
      <c r="D324" s="31" t="s">
        <v>24</v>
      </c>
      <c r="E324" s="31" t="s">
        <v>25</v>
      </c>
      <c r="F324">
        <v>64934</v>
      </c>
      <c r="G324">
        <v>1</v>
      </c>
      <c r="H324">
        <v>3</v>
      </c>
      <c r="I324">
        <v>5</v>
      </c>
      <c r="J324" s="31" t="s">
        <v>19</v>
      </c>
      <c r="K324">
        <v>5</v>
      </c>
      <c r="L324" s="31" t="s">
        <v>19</v>
      </c>
      <c r="M324" s="31" t="s">
        <v>26</v>
      </c>
      <c r="N324">
        <v>25</v>
      </c>
      <c r="O324" s="31" t="s">
        <v>42</v>
      </c>
    </row>
    <row r="325" spans="1:15" x14ac:dyDescent="0.25">
      <c r="A325" s="31" t="s">
        <v>362</v>
      </c>
      <c r="B325">
        <v>55</v>
      </c>
      <c r="C325" s="31" t="s">
        <v>28</v>
      </c>
      <c r="D325" s="31" t="s">
        <v>40</v>
      </c>
      <c r="E325" s="31" t="s">
        <v>18</v>
      </c>
      <c r="F325">
        <v>68925</v>
      </c>
      <c r="G325">
        <v>2</v>
      </c>
      <c r="H325">
        <v>3</v>
      </c>
      <c r="I325">
        <v>3</v>
      </c>
      <c r="J325" s="31" t="s">
        <v>20</v>
      </c>
      <c r="K325">
        <v>9</v>
      </c>
      <c r="L325" s="31" t="s">
        <v>19</v>
      </c>
      <c r="M325" s="31" t="s">
        <v>26</v>
      </c>
      <c r="N325">
        <v>72</v>
      </c>
      <c r="O325" s="31" t="s">
        <v>42</v>
      </c>
    </row>
    <row r="326" spans="1:15" x14ac:dyDescent="0.25">
      <c r="A326" s="31" t="s">
        <v>363</v>
      </c>
      <c r="B326">
        <v>56</v>
      </c>
      <c r="C326" s="31" t="s">
        <v>16</v>
      </c>
      <c r="D326" s="31" t="s">
        <v>40</v>
      </c>
      <c r="E326" s="31" t="s">
        <v>38</v>
      </c>
      <c r="F326">
        <v>63351</v>
      </c>
      <c r="G326">
        <v>4</v>
      </c>
      <c r="H326">
        <v>2</v>
      </c>
      <c r="I326">
        <v>5</v>
      </c>
      <c r="J326" s="31" t="s">
        <v>19</v>
      </c>
      <c r="K326">
        <v>1</v>
      </c>
      <c r="L326" s="31" t="s">
        <v>20</v>
      </c>
      <c r="M326" s="31" t="s">
        <v>30</v>
      </c>
      <c r="N326">
        <v>19</v>
      </c>
      <c r="O326" s="31" t="s">
        <v>42</v>
      </c>
    </row>
    <row r="327" spans="1:15" x14ac:dyDescent="0.25">
      <c r="A327" s="31" t="s">
        <v>364</v>
      </c>
      <c r="B327">
        <v>37</v>
      </c>
      <c r="C327" s="31" t="s">
        <v>28</v>
      </c>
      <c r="D327" s="31" t="s">
        <v>40</v>
      </c>
      <c r="E327" s="31" t="s">
        <v>25</v>
      </c>
      <c r="F327">
        <v>118990</v>
      </c>
      <c r="G327">
        <v>3</v>
      </c>
      <c r="H327">
        <v>5</v>
      </c>
      <c r="I327">
        <v>5</v>
      </c>
      <c r="J327" s="31" t="s">
        <v>20</v>
      </c>
      <c r="K327">
        <v>15</v>
      </c>
      <c r="L327" s="31" t="s">
        <v>19</v>
      </c>
      <c r="M327" s="31" t="s">
        <v>30</v>
      </c>
      <c r="N327">
        <v>29</v>
      </c>
      <c r="O327" s="31" t="s">
        <v>36</v>
      </c>
    </row>
    <row r="328" spans="1:15" x14ac:dyDescent="0.25">
      <c r="A328" s="31" t="s">
        <v>365</v>
      </c>
      <c r="B328">
        <v>39</v>
      </c>
      <c r="C328" s="31" t="s">
        <v>16</v>
      </c>
      <c r="D328" s="31" t="s">
        <v>40</v>
      </c>
      <c r="E328" s="31" t="s">
        <v>41</v>
      </c>
      <c r="F328">
        <v>119360</v>
      </c>
      <c r="G328">
        <v>5</v>
      </c>
      <c r="H328">
        <v>5</v>
      </c>
      <c r="I328">
        <v>1</v>
      </c>
      <c r="J328" s="31" t="s">
        <v>19</v>
      </c>
      <c r="K328">
        <v>6</v>
      </c>
      <c r="L328" s="31" t="s">
        <v>19</v>
      </c>
      <c r="M328" s="31" t="s">
        <v>26</v>
      </c>
      <c r="N328">
        <v>59</v>
      </c>
      <c r="O328" s="31" t="s">
        <v>22</v>
      </c>
    </row>
    <row r="329" spans="1:15" x14ac:dyDescent="0.25">
      <c r="A329" s="31" t="s">
        <v>366</v>
      </c>
      <c r="B329">
        <v>34</v>
      </c>
      <c r="C329" s="31" t="s">
        <v>28</v>
      </c>
      <c r="D329" s="31" t="s">
        <v>17</v>
      </c>
      <c r="E329" s="31" t="s">
        <v>35</v>
      </c>
      <c r="F329">
        <v>115896</v>
      </c>
      <c r="G329">
        <v>2</v>
      </c>
      <c r="H329">
        <v>1</v>
      </c>
      <c r="I329">
        <v>4</v>
      </c>
      <c r="J329" s="31" t="s">
        <v>20</v>
      </c>
      <c r="K329">
        <v>1</v>
      </c>
      <c r="L329" s="31" t="s">
        <v>19</v>
      </c>
      <c r="M329" s="31" t="s">
        <v>21</v>
      </c>
      <c r="N329">
        <v>11</v>
      </c>
      <c r="O329" s="31" t="s">
        <v>44</v>
      </c>
    </row>
    <row r="330" spans="1:15" x14ac:dyDescent="0.25">
      <c r="A330" s="31" t="s">
        <v>367</v>
      </c>
      <c r="B330">
        <v>37</v>
      </c>
      <c r="C330" s="31" t="s">
        <v>16</v>
      </c>
      <c r="D330" s="31" t="s">
        <v>24</v>
      </c>
      <c r="E330" s="31" t="s">
        <v>41</v>
      </c>
      <c r="F330">
        <v>51901</v>
      </c>
      <c r="G330">
        <v>4</v>
      </c>
      <c r="H330">
        <v>4</v>
      </c>
      <c r="I330">
        <v>4</v>
      </c>
      <c r="J330" s="31" t="s">
        <v>20</v>
      </c>
      <c r="K330">
        <v>13</v>
      </c>
      <c r="L330" s="31" t="s">
        <v>20</v>
      </c>
      <c r="M330" s="31" t="s">
        <v>21</v>
      </c>
      <c r="N330">
        <v>54</v>
      </c>
      <c r="O330" s="31" t="s">
        <v>22</v>
      </c>
    </row>
    <row r="331" spans="1:15" x14ac:dyDescent="0.25">
      <c r="A331" s="31" t="s">
        <v>368</v>
      </c>
      <c r="B331">
        <v>55</v>
      </c>
      <c r="C331" s="31" t="s">
        <v>16</v>
      </c>
      <c r="D331" s="31" t="s">
        <v>17</v>
      </c>
      <c r="E331" s="31" t="s">
        <v>38</v>
      </c>
      <c r="F331">
        <v>99048</v>
      </c>
      <c r="G331">
        <v>1</v>
      </c>
      <c r="H331">
        <v>5</v>
      </c>
      <c r="I331">
        <v>1</v>
      </c>
      <c r="J331" s="31" t="s">
        <v>19</v>
      </c>
      <c r="K331">
        <v>11</v>
      </c>
      <c r="L331" s="31" t="s">
        <v>19</v>
      </c>
      <c r="M331" s="31" t="s">
        <v>30</v>
      </c>
      <c r="N331">
        <v>43</v>
      </c>
      <c r="O331" s="31" t="s">
        <v>31</v>
      </c>
    </row>
    <row r="332" spans="1:15" x14ac:dyDescent="0.25">
      <c r="A332" s="31" t="s">
        <v>369</v>
      </c>
      <c r="B332">
        <v>26</v>
      </c>
      <c r="C332" s="31" t="s">
        <v>28</v>
      </c>
      <c r="D332" s="31" t="s">
        <v>49</v>
      </c>
      <c r="E332" s="31" t="s">
        <v>33</v>
      </c>
      <c r="F332">
        <v>69788</v>
      </c>
      <c r="G332">
        <v>1</v>
      </c>
      <c r="H332">
        <v>4</v>
      </c>
      <c r="I332">
        <v>2</v>
      </c>
      <c r="J332" s="31" t="s">
        <v>19</v>
      </c>
      <c r="K332">
        <v>4</v>
      </c>
      <c r="L332" s="31" t="s">
        <v>20</v>
      </c>
      <c r="M332" s="31" t="s">
        <v>26</v>
      </c>
      <c r="N332">
        <v>42</v>
      </c>
      <c r="O332" s="31" t="s">
        <v>44</v>
      </c>
    </row>
    <row r="333" spans="1:15" x14ac:dyDescent="0.25">
      <c r="A333" s="31" t="s">
        <v>370</v>
      </c>
      <c r="B333">
        <v>40</v>
      </c>
      <c r="C333" s="31" t="s">
        <v>28</v>
      </c>
      <c r="D333" s="31" t="s">
        <v>40</v>
      </c>
      <c r="E333" s="31" t="s">
        <v>25</v>
      </c>
      <c r="F333">
        <v>90754</v>
      </c>
      <c r="G333">
        <v>2</v>
      </c>
      <c r="H333">
        <v>1</v>
      </c>
      <c r="I333">
        <v>1</v>
      </c>
      <c r="J333" s="31" t="s">
        <v>19</v>
      </c>
      <c r="K333">
        <v>18</v>
      </c>
      <c r="L333" s="31" t="s">
        <v>20</v>
      </c>
      <c r="M333" s="31" t="s">
        <v>26</v>
      </c>
      <c r="N333">
        <v>75</v>
      </c>
      <c r="O333" s="31" t="s">
        <v>22</v>
      </c>
    </row>
    <row r="334" spans="1:15" x14ac:dyDescent="0.25">
      <c r="A334" s="31" t="s">
        <v>371</v>
      </c>
      <c r="B334">
        <v>40</v>
      </c>
      <c r="C334" s="31" t="s">
        <v>16</v>
      </c>
      <c r="D334" s="31" t="s">
        <v>17</v>
      </c>
      <c r="E334" s="31" t="s">
        <v>38</v>
      </c>
      <c r="F334">
        <v>113150</v>
      </c>
      <c r="G334">
        <v>3</v>
      </c>
      <c r="H334">
        <v>2</v>
      </c>
      <c r="I334">
        <v>4</v>
      </c>
      <c r="J334" s="31" t="s">
        <v>19</v>
      </c>
      <c r="K334">
        <v>5</v>
      </c>
      <c r="L334" s="31" t="s">
        <v>19</v>
      </c>
      <c r="M334" s="31" t="s">
        <v>21</v>
      </c>
      <c r="N334">
        <v>37</v>
      </c>
      <c r="O334" s="31" t="s">
        <v>44</v>
      </c>
    </row>
    <row r="335" spans="1:15" x14ac:dyDescent="0.25">
      <c r="A335" s="31" t="s">
        <v>372</v>
      </c>
      <c r="B335">
        <v>28</v>
      </c>
      <c r="C335" s="31" t="s">
        <v>16</v>
      </c>
      <c r="D335" s="31" t="s">
        <v>17</v>
      </c>
      <c r="E335" s="31" t="s">
        <v>25</v>
      </c>
      <c r="F335">
        <v>25128</v>
      </c>
      <c r="G335">
        <v>5</v>
      </c>
      <c r="H335">
        <v>4</v>
      </c>
      <c r="I335">
        <v>5</v>
      </c>
      <c r="J335" s="31" t="s">
        <v>19</v>
      </c>
      <c r="K335">
        <v>9</v>
      </c>
      <c r="L335" s="31" t="s">
        <v>19</v>
      </c>
      <c r="M335" s="31" t="s">
        <v>30</v>
      </c>
      <c r="N335">
        <v>17</v>
      </c>
      <c r="O335" s="31" t="s">
        <v>44</v>
      </c>
    </row>
    <row r="336" spans="1:15" x14ac:dyDescent="0.25">
      <c r="A336" s="31" t="s">
        <v>373</v>
      </c>
      <c r="B336">
        <v>58</v>
      </c>
      <c r="C336" s="31" t="s">
        <v>28</v>
      </c>
      <c r="D336" s="31" t="s">
        <v>29</v>
      </c>
      <c r="E336" s="31" t="s">
        <v>18</v>
      </c>
      <c r="F336">
        <v>34805</v>
      </c>
      <c r="G336">
        <v>2</v>
      </c>
      <c r="H336">
        <v>1</v>
      </c>
      <c r="I336">
        <v>3</v>
      </c>
      <c r="J336" s="31" t="s">
        <v>19</v>
      </c>
      <c r="K336">
        <v>6</v>
      </c>
      <c r="L336" s="31" t="s">
        <v>20</v>
      </c>
      <c r="M336" s="31" t="s">
        <v>30</v>
      </c>
      <c r="N336">
        <v>62</v>
      </c>
      <c r="O336" s="31" t="s">
        <v>36</v>
      </c>
    </row>
    <row r="337" spans="1:15" x14ac:dyDescent="0.25">
      <c r="A337" s="31" t="s">
        <v>374</v>
      </c>
      <c r="B337">
        <v>40</v>
      </c>
      <c r="C337" s="31" t="s">
        <v>16</v>
      </c>
      <c r="D337" s="31" t="s">
        <v>24</v>
      </c>
      <c r="E337" s="31" t="s">
        <v>25</v>
      </c>
      <c r="F337">
        <v>65774</v>
      </c>
      <c r="G337">
        <v>3</v>
      </c>
      <c r="H337">
        <v>4</v>
      </c>
      <c r="I337">
        <v>2</v>
      </c>
      <c r="J337" s="31" t="s">
        <v>19</v>
      </c>
      <c r="K337">
        <v>10</v>
      </c>
      <c r="L337" s="31" t="s">
        <v>19</v>
      </c>
      <c r="M337" s="31" t="s">
        <v>21</v>
      </c>
      <c r="N337">
        <v>60</v>
      </c>
      <c r="O337" s="31" t="s">
        <v>36</v>
      </c>
    </row>
    <row r="338" spans="1:15" x14ac:dyDescent="0.25">
      <c r="A338" s="31" t="s">
        <v>375</v>
      </c>
      <c r="B338">
        <v>44</v>
      </c>
      <c r="C338" s="31" t="s">
        <v>16</v>
      </c>
      <c r="D338" s="31" t="s">
        <v>17</v>
      </c>
      <c r="E338" s="31" t="s">
        <v>38</v>
      </c>
      <c r="F338">
        <v>61458</v>
      </c>
      <c r="G338">
        <v>4</v>
      </c>
      <c r="H338">
        <v>4</v>
      </c>
      <c r="I338">
        <v>4</v>
      </c>
      <c r="J338" s="31" t="s">
        <v>20</v>
      </c>
      <c r="K338">
        <v>9</v>
      </c>
      <c r="L338" s="31" t="s">
        <v>20</v>
      </c>
      <c r="M338" s="31" t="s">
        <v>26</v>
      </c>
      <c r="N338">
        <v>18</v>
      </c>
      <c r="O338" s="31" t="s">
        <v>44</v>
      </c>
    </row>
    <row r="339" spans="1:15" x14ac:dyDescent="0.25">
      <c r="A339" s="31" t="s">
        <v>376</v>
      </c>
      <c r="B339">
        <v>26</v>
      </c>
      <c r="C339" s="31" t="s">
        <v>28</v>
      </c>
      <c r="D339" s="31" t="s">
        <v>51</v>
      </c>
      <c r="E339" s="31" t="s">
        <v>25</v>
      </c>
      <c r="F339">
        <v>43746</v>
      </c>
      <c r="G339">
        <v>3</v>
      </c>
      <c r="H339">
        <v>1</v>
      </c>
      <c r="I339">
        <v>1</v>
      </c>
      <c r="J339" s="31" t="s">
        <v>19</v>
      </c>
      <c r="K339">
        <v>16</v>
      </c>
      <c r="L339" s="31" t="s">
        <v>19</v>
      </c>
      <c r="M339" s="31" t="s">
        <v>26</v>
      </c>
      <c r="N339">
        <v>79</v>
      </c>
      <c r="O339" s="31" t="s">
        <v>42</v>
      </c>
    </row>
    <row r="340" spans="1:15" x14ac:dyDescent="0.25">
      <c r="A340" s="31" t="s">
        <v>377</v>
      </c>
      <c r="B340">
        <v>58</v>
      </c>
      <c r="C340" s="31" t="s">
        <v>16</v>
      </c>
      <c r="D340" s="31" t="s">
        <v>40</v>
      </c>
      <c r="E340" s="31" t="s">
        <v>25</v>
      </c>
      <c r="F340">
        <v>52159</v>
      </c>
      <c r="G340">
        <v>5</v>
      </c>
      <c r="H340">
        <v>5</v>
      </c>
      <c r="I340">
        <v>4</v>
      </c>
      <c r="J340" s="31" t="s">
        <v>19</v>
      </c>
      <c r="K340">
        <v>11</v>
      </c>
      <c r="L340" s="31" t="s">
        <v>20</v>
      </c>
      <c r="M340" s="31" t="s">
        <v>21</v>
      </c>
      <c r="N340">
        <v>80</v>
      </c>
      <c r="O340" s="31" t="s">
        <v>36</v>
      </c>
    </row>
    <row r="341" spans="1:15" x14ac:dyDescent="0.25">
      <c r="A341" s="31" t="s">
        <v>378</v>
      </c>
      <c r="B341">
        <v>29</v>
      </c>
      <c r="C341" s="31" t="s">
        <v>28</v>
      </c>
      <c r="D341" s="31" t="s">
        <v>24</v>
      </c>
      <c r="E341" s="31" t="s">
        <v>25</v>
      </c>
      <c r="F341">
        <v>29869</v>
      </c>
      <c r="G341">
        <v>4</v>
      </c>
      <c r="H341">
        <v>3</v>
      </c>
      <c r="I341">
        <v>5</v>
      </c>
      <c r="J341" s="31" t="s">
        <v>19</v>
      </c>
      <c r="K341">
        <v>7</v>
      </c>
      <c r="L341" s="31" t="s">
        <v>19</v>
      </c>
      <c r="M341" s="31" t="s">
        <v>26</v>
      </c>
      <c r="N341">
        <v>22</v>
      </c>
      <c r="O341" s="31" t="s">
        <v>42</v>
      </c>
    </row>
    <row r="342" spans="1:15" x14ac:dyDescent="0.25">
      <c r="A342" s="31" t="s">
        <v>379</v>
      </c>
      <c r="B342">
        <v>31</v>
      </c>
      <c r="C342" s="31" t="s">
        <v>16</v>
      </c>
      <c r="D342" s="31" t="s">
        <v>24</v>
      </c>
      <c r="E342" s="31" t="s">
        <v>25</v>
      </c>
      <c r="F342">
        <v>104430</v>
      </c>
      <c r="G342">
        <v>2</v>
      </c>
      <c r="H342">
        <v>4</v>
      </c>
      <c r="I342">
        <v>3</v>
      </c>
      <c r="J342" s="31" t="s">
        <v>19</v>
      </c>
      <c r="K342">
        <v>7</v>
      </c>
      <c r="L342" s="31" t="s">
        <v>20</v>
      </c>
      <c r="M342" s="31" t="s">
        <v>21</v>
      </c>
      <c r="N342">
        <v>13</v>
      </c>
      <c r="O342" s="31" t="s">
        <v>36</v>
      </c>
    </row>
    <row r="343" spans="1:15" x14ac:dyDescent="0.25">
      <c r="A343" s="31" t="s">
        <v>380</v>
      </c>
      <c r="B343">
        <v>44</v>
      </c>
      <c r="C343" s="31" t="s">
        <v>16</v>
      </c>
      <c r="D343" s="31" t="s">
        <v>40</v>
      </c>
      <c r="E343" s="31" t="s">
        <v>38</v>
      </c>
      <c r="F343">
        <v>45102</v>
      </c>
      <c r="G343">
        <v>5</v>
      </c>
      <c r="H343">
        <v>3</v>
      </c>
      <c r="I343">
        <v>4</v>
      </c>
      <c r="J343" s="31" t="s">
        <v>20</v>
      </c>
      <c r="K343">
        <v>14</v>
      </c>
      <c r="L343" s="31" t="s">
        <v>19</v>
      </c>
      <c r="M343" s="31" t="s">
        <v>21</v>
      </c>
      <c r="N343">
        <v>46</v>
      </c>
      <c r="O343" s="31" t="s">
        <v>22</v>
      </c>
    </row>
    <row r="344" spans="1:15" x14ac:dyDescent="0.25">
      <c r="A344" s="31" t="s">
        <v>381</v>
      </c>
      <c r="B344">
        <v>54</v>
      </c>
      <c r="C344" s="31" t="s">
        <v>28</v>
      </c>
      <c r="D344" s="31" t="s">
        <v>17</v>
      </c>
      <c r="E344" s="31" t="s">
        <v>18</v>
      </c>
      <c r="F344">
        <v>93842</v>
      </c>
      <c r="G344">
        <v>5</v>
      </c>
      <c r="H344">
        <v>5</v>
      </c>
      <c r="I344">
        <v>2</v>
      </c>
      <c r="J344" s="31" t="s">
        <v>20</v>
      </c>
      <c r="K344">
        <v>20</v>
      </c>
      <c r="L344" s="31" t="s">
        <v>20</v>
      </c>
      <c r="M344" s="31" t="s">
        <v>30</v>
      </c>
      <c r="N344">
        <v>80</v>
      </c>
      <c r="O344" s="31" t="s">
        <v>22</v>
      </c>
    </row>
    <row r="345" spans="1:15" x14ac:dyDescent="0.25">
      <c r="A345" s="31" t="s">
        <v>382</v>
      </c>
      <c r="B345">
        <v>54</v>
      </c>
      <c r="C345" s="31" t="s">
        <v>28</v>
      </c>
      <c r="D345" s="31" t="s">
        <v>49</v>
      </c>
      <c r="E345" s="31" t="s">
        <v>41</v>
      </c>
      <c r="F345">
        <v>85681</v>
      </c>
      <c r="G345">
        <v>4</v>
      </c>
      <c r="H345">
        <v>3</v>
      </c>
      <c r="I345">
        <v>3</v>
      </c>
      <c r="J345" s="31" t="s">
        <v>20</v>
      </c>
      <c r="K345">
        <v>15</v>
      </c>
      <c r="L345" s="31" t="s">
        <v>19</v>
      </c>
      <c r="M345" s="31" t="s">
        <v>26</v>
      </c>
      <c r="N345">
        <v>22</v>
      </c>
      <c r="O345" s="31" t="s">
        <v>42</v>
      </c>
    </row>
    <row r="346" spans="1:15" x14ac:dyDescent="0.25">
      <c r="A346" s="31" t="s">
        <v>383</v>
      </c>
      <c r="B346">
        <v>31</v>
      </c>
      <c r="C346" s="31" t="s">
        <v>16</v>
      </c>
      <c r="D346" s="31" t="s">
        <v>40</v>
      </c>
      <c r="E346" s="31" t="s">
        <v>25</v>
      </c>
      <c r="F346">
        <v>102341</v>
      </c>
      <c r="G346">
        <v>3</v>
      </c>
      <c r="H346">
        <v>2</v>
      </c>
      <c r="I346">
        <v>2</v>
      </c>
      <c r="J346" s="31" t="s">
        <v>19</v>
      </c>
      <c r="K346">
        <v>5</v>
      </c>
      <c r="L346" s="31" t="s">
        <v>20</v>
      </c>
      <c r="M346" s="31" t="s">
        <v>26</v>
      </c>
      <c r="N346">
        <v>20</v>
      </c>
      <c r="O346" s="31" t="s">
        <v>44</v>
      </c>
    </row>
    <row r="347" spans="1:15" x14ac:dyDescent="0.25">
      <c r="A347" s="31" t="s">
        <v>384</v>
      </c>
      <c r="B347">
        <v>47</v>
      </c>
      <c r="C347" s="31" t="s">
        <v>28</v>
      </c>
      <c r="D347" s="31" t="s">
        <v>17</v>
      </c>
      <c r="E347" s="31" t="s">
        <v>35</v>
      </c>
      <c r="F347">
        <v>81113</v>
      </c>
      <c r="G347">
        <v>4</v>
      </c>
      <c r="H347">
        <v>4</v>
      </c>
      <c r="I347">
        <v>2</v>
      </c>
      <c r="J347" s="31" t="s">
        <v>19</v>
      </c>
      <c r="K347">
        <v>20</v>
      </c>
      <c r="L347" s="31" t="s">
        <v>20</v>
      </c>
      <c r="M347" s="31" t="s">
        <v>21</v>
      </c>
      <c r="N347">
        <v>36</v>
      </c>
      <c r="O347" s="31" t="s">
        <v>22</v>
      </c>
    </row>
    <row r="348" spans="1:15" x14ac:dyDescent="0.25">
      <c r="A348" s="31" t="s">
        <v>385</v>
      </c>
      <c r="B348">
        <v>29</v>
      </c>
      <c r="C348" s="31" t="s">
        <v>16</v>
      </c>
      <c r="D348" s="31" t="s">
        <v>51</v>
      </c>
      <c r="E348" s="31" t="s">
        <v>38</v>
      </c>
      <c r="F348">
        <v>85193</v>
      </c>
      <c r="G348">
        <v>1</v>
      </c>
      <c r="H348">
        <v>5</v>
      </c>
      <c r="I348">
        <v>2</v>
      </c>
      <c r="J348" s="31" t="s">
        <v>19</v>
      </c>
      <c r="K348">
        <v>5</v>
      </c>
      <c r="L348" s="31" t="s">
        <v>20</v>
      </c>
      <c r="M348" s="31" t="s">
        <v>21</v>
      </c>
      <c r="N348">
        <v>71</v>
      </c>
      <c r="O348" s="31" t="s">
        <v>42</v>
      </c>
    </row>
    <row r="349" spans="1:15" x14ac:dyDescent="0.25">
      <c r="A349" s="31" t="s">
        <v>386</v>
      </c>
      <c r="B349">
        <v>57</v>
      </c>
      <c r="C349" s="31" t="s">
        <v>16</v>
      </c>
      <c r="D349" s="31" t="s">
        <v>17</v>
      </c>
      <c r="E349" s="31" t="s">
        <v>38</v>
      </c>
      <c r="F349">
        <v>104736</v>
      </c>
      <c r="G349">
        <v>3</v>
      </c>
      <c r="H349">
        <v>1</v>
      </c>
      <c r="I349">
        <v>2</v>
      </c>
      <c r="J349" s="31" t="s">
        <v>20</v>
      </c>
      <c r="K349">
        <v>19</v>
      </c>
      <c r="L349" s="31" t="s">
        <v>20</v>
      </c>
      <c r="M349" s="31" t="s">
        <v>30</v>
      </c>
      <c r="N349">
        <v>26</v>
      </c>
      <c r="O349" s="31" t="s">
        <v>44</v>
      </c>
    </row>
    <row r="350" spans="1:15" x14ac:dyDescent="0.25">
      <c r="A350" s="31" t="s">
        <v>387</v>
      </c>
      <c r="B350">
        <v>47</v>
      </c>
      <c r="C350" s="31" t="s">
        <v>16</v>
      </c>
      <c r="D350" s="31" t="s">
        <v>24</v>
      </c>
      <c r="E350" s="31" t="s">
        <v>41</v>
      </c>
      <c r="F350">
        <v>99685</v>
      </c>
      <c r="G350">
        <v>5</v>
      </c>
      <c r="H350">
        <v>3</v>
      </c>
      <c r="I350">
        <v>2</v>
      </c>
      <c r="J350" s="31" t="s">
        <v>20</v>
      </c>
      <c r="K350">
        <v>14</v>
      </c>
      <c r="L350" s="31" t="s">
        <v>19</v>
      </c>
      <c r="M350" s="31" t="s">
        <v>21</v>
      </c>
      <c r="N350">
        <v>53</v>
      </c>
      <c r="O350" s="31" t="s">
        <v>42</v>
      </c>
    </row>
    <row r="351" spans="1:15" x14ac:dyDescent="0.25">
      <c r="A351" s="31" t="s">
        <v>388</v>
      </c>
      <c r="B351">
        <v>29</v>
      </c>
      <c r="C351" s="31" t="s">
        <v>16</v>
      </c>
      <c r="D351" s="31" t="s">
        <v>40</v>
      </c>
      <c r="E351" s="31" t="s">
        <v>41</v>
      </c>
      <c r="F351">
        <v>86512</v>
      </c>
      <c r="G351">
        <v>5</v>
      </c>
      <c r="H351">
        <v>4</v>
      </c>
      <c r="I351">
        <v>2</v>
      </c>
      <c r="J351" s="31" t="s">
        <v>19</v>
      </c>
      <c r="K351">
        <v>5</v>
      </c>
      <c r="L351" s="31" t="s">
        <v>20</v>
      </c>
      <c r="M351" s="31" t="s">
        <v>26</v>
      </c>
      <c r="N351">
        <v>9</v>
      </c>
      <c r="O351" s="31" t="s">
        <v>31</v>
      </c>
    </row>
    <row r="352" spans="1:15" x14ac:dyDescent="0.25">
      <c r="A352" s="31" t="s">
        <v>389</v>
      </c>
      <c r="B352">
        <v>53</v>
      </c>
      <c r="C352" s="31" t="s">
        <v>16</v>
      </c>
      <c r="D352" s="31" t="s">
        <v>40</v>
      </c>
      <c r="E352" s="31" t="s">
        <v>33</v>
      </c>
      <c r="F352">
        <v>104427</v>
      </c>
      <c r="G352">
        <v>2</v>
      </c>
      <c r="H352">
        <v>5</v>
      </c>
      <c r="I352">
        <v>5</v>
      </c>
      <c r="J352" s="31" t="s">
        <v>19</v>
      </c>
      <c r="K352">
        <v>20</v>
      </c>
      <c r="L352" s="31" t="s">
        <v>20</v>
      </c>
      <c r="M352" s="31" t="s">
        <v>26</v>
      </c>
      <c r="N352">
        <v>58</v>
      </c>
      <c r="O352" s="31" t="s">
        <v>36</v>
      </c>
    </row>
    <row r="353" spans="1:15" x14ac:dyDescent="0.25">
      <c r="A353" s="31" t="s">
        <v>390</v>
      </c>
      <c r="B353">
        <v>23</v>
      </c>
      <c r="C353" s="31" t="s">
        <v>28</v>
      </c>
      <c r="D353" s="31" t="s">
        <v>51</v>
      </c>
      <c r="E353" s="31" t="s">
        <v>33</v>
      </c>
      <c r="F353">
        <v>118751</v>
      </c>
      <c r="G353">
        <v>4</v>
      </c>
      <c r="H353">
        <v>3</v>
      </c>
      <c r="I353">
        <v>5</v>
      </c>
      <c r="J353" s="31" t="s">
        <v>19</v>
      </c>
      <c r="K353">
        <v>13</v>
      </c>
      <c r="L353" s="31" t="s">
        <v>19</v>
      </c>
      <c r="M353" s="31" t="s">
        <v>30</v>
      </c>
      <c r="N353">
        <v>66</v>
      </c>
      <c r="O353" s="31" t="s">
        <v>44</v>
      </c>
    </row>
    <row r="354" spans="1:15" x14ac:dyDescent="0.25">
      <c r="A354" s="31" t="s">
        <v>391</v>
      </c>
      <c r="B354">
        <v>26</v>
      </c>
      <c r="C354" s="31" t="s">
        <v>28</v>
      </c>
      <c r="D354" s="31" t="s">
        <v>24</v>
      </c>
      <c r="E354" s="31" t="s">
        <v>25</v>
      </c>
      <c r="F354">
        <v>71562</v>
      </c>
      <c r="G354">
        <v>3</v>
      </c>
      <c r="H354">
        <v>2</v>
      </c>
      <c r="I354">
        <v>1</v>
      </c>
      <c r="J354" s="31" t="s">
        <v>19</v>
      </c>
      <c r="K354">
        <v>18</v>
      </c>
      <c r="L354" s="31" t="s">
        <v>19</v>
      </c>
      <c r="M354" s="31" t="s">
        <v>26</v>
      </c>
      <c r="N354">
        <v>5</v>
      </c>
      <c r="O354" s="31" t="s">
        <v>42</v>
      </c>
    </row>
    <row r="355" spans="1:15" x14ac:dyDescent="0.25">
      <c r="A355" s="31" t="s">
        <v>392</v>
      </c>
      <c r="B355">
        <v>34</v>
      </c>
      <c r="C355" s="31" t="s">
        <v>28</v>
      </c>
      <c r="D355" s="31" t="s">
        <v>49</v>
      </c>
      <c r="E355" s="31" t="s">
        <v>18</v>
      </c>
      <c r="F355">
        <v>31970</v>
      </c>
      <c r="G355">
        <v>2</v>
      </c>
      <c r="H355">
        <v>4</v>
      </c>
      <c r="I355">
        <v>5</v>
      </c>
      <c r="J355" s="31" t="s">
        <v>20</v>
      </c>
      <c r="K355">
        <v>8</v>
      </c>
      <c r="L355" s="31" t="s">
        <v>20</v>
      </c>
      <c r="M355" s="31" t="s">
        <v>26</v>
      </c>
      <c r="N355">
        <v>51</v>
      </c>
      <c r="O355" s="31" t="s">
        <v>31</v>
      </c>
    </row>
    <row r="356" spans="1:15" x14ac:dyDescent="0.25">
      <c r="A356" s="31" t="s">
        <v>393</v>
      </c>
      <c r="B356">
        <v>38</v>
      </c>
      <c r="C356" s="31" t="s">
        <v>28</v>
      </c>
      <c r="D356" s="31" t="s">
        <v>51</v>
      </c>
      <c r="E356" s="31" t="s">
        <v>33</v>
      </c>
      <c r="F356">
        <v>90365</v>
      </c>
      <c r="G356">
        <v>3</v>
      </c>
      <c r="H356">
        <v>4</v>
      </c>
      <c r="I356">
        <v>2</v>
      </c>
      <c r="J356" s="31" t="s">
        <v>20</v>
      </c>
      <c r="K356">
        <v>17</v>
      </c>
      <c r="L356" s="31" t="s">
        <v>20</v>
      </c>
      <c r="M356" s="31" t="s">
        <v>30</v>
      </c>
      <c r="N356">
        <v>44</v>
      </c>
      <c r="O356" s="31" t="s">
        <v>31</v>
      </c>
    </row>
    <row r="357" spans="1:15" x14ac:dyDescent="0.25">
      <c r="A357" s="31" t="s">
        <v>394</v>
      </c>
      <c r="B357">
        <v>43</v>
      </c>
      <c r="C357" s="31" t="s">
        <v>28</v>
      </c>
      <c r="D357" s="31" t="s">
        <v>17</v>
      </c>
      <c r="E357" s="31" t="s">
        <v>41</v>
      </c>
      <c r="F357">
        <v>104413</v>
      </c>
      <c r="G357">
        <v>1</v>
      </c>
      <c r="H357">
        <v>2</v>
      </c>
      <c r="I357">
        <v>4</v>
      </c>
      <c r="J357" s="31" t="s">
        <v>19</v>
      </c>
      <c r="K357">
        <v>3</v>
      </c>
      <c r="L357" s="31" t="s">
        <v>19</v>
      </c>
      <c r="M357" s="31" t="s">
        <v>26</v>
      </c>
      <c r="N357">
        <v>56</v>
      </c>
      <c r="O357" s="31" t="s">
        <v>36</v>
      </c>
    </row>
    <row r="358" spans="1:15" x14ac:dyDescent="0.25">
      <c r="A358" s="31" t="s">
        <v>395</v>
      </c>
      <c r="B358">
        <v>56</v>
      </c>
      <c r="C358" s="31" t="s">
        <v>16</v>
      </c>
      <c r="D358" s="31" t="s">
        <v>51</v>
      </c>
      <c r="E358" s="31" t="s">
        <v>33</v>
      </c>
      <c r="F358">
        <v>101345</v>
      </c>
      <c r="G358">
        <v>1</v>
      </c>
      <c r="H358">
        <v>3</v>
      </c>
      <c r="I358">
        <v>2</v>
      </c>
      <c r="J358" s="31" t="s">
        <v>20</v>
      </c>
      <c r="K358">
        <v>19</v>
      </c>
      <c r="L358" s="31" t="s">
        <v>20</v>
      </c>
      <c r="M358" s="31" t="s">
        <v>21</v>
      </c>
      <c r="N358">
        <v>13</v>
      </c>
      <c r="O358" s="31" t="s">
        <v>36</v>
      </c>
    </row>
    <row r="359" spans="1:15" x14ac:dyDescent="0.25">
      <c r="A359" s="31" t="s">
        <v>396</v>
      </c>
      <c r="B359">
        <v>35</v>
      </c>
      <c r="C359" s="31" t="s">
        <v>28</v>
      </c>
      <c r="D359" s="31" t="s">
        <v>40</v>
      </c>
      <c r="E359" s="31" t="s">
        <v>25</v>
      </c>
      <c r="F359">
        <v>22948</v>
      </c>
      <c r="G359">
        <v>4</v>
      </c>
      <c r="H359">
        <v>4</v>
      </c>
      <c r="I359">
        <v>5</v>
      </c>
      <c r="J359" s="31" t="s">
        <v>20</v>
      </c>
      <c r="K359">
        <v>19</v>
      </c>
      <c r="L359" s="31" t="s">
        <v>19</v>
      </c>
      <c r="M359" s="31" t="s">
        <v>21</v>
      </c>
      <c r="N359">
        <v>68</v>
      </c>
      <c r="O359" s="31" t="s">
        <v>42</v>
      </c>
    </row>
    <row r="360" spans="1:15" x14ac:dyDescent="0.25">
      <c r="A360" s="31" t="s">
        <v>397</v>
      </c>
      <c r="B360">
        <v>21</v>
      </c>
      <c r="C360" s="31" t="s">
        <v>16</v>
      </c>
      <c r="D360" s="31" t="s">
        <v>17</v>
      </c>
      <c r="E360" s="31" t="s">
        <v>25</v>
      </c>
      <c r="F360">
        <v>55487</v>
      </c>
      <c r="G360">
        <v>2</v>
      </c>
      <c r="H360">
        <v>1</v>
      </c>
      <c r="I360">
        <v>5</v>
      </c>
      <c r="J360" s="31" t="s">
        <v>19</v>
      </c>
      <c r="K360">
        <v>19</v>
      </c>
      <c r="L360" s="31" t="s">
        <v>19</v>
      </c>
      <c r="M360" s="31" t="s">
        <v>26</v>
      </c>
      <c r="N360">
        <v>9</v>
      </c>
      <c r="O360" s="31" t="s">
        <v>36</v>
      </c>
    </row>
    <row r="361" spans="1:15" x14ac:dyDescent="0.25">
      <c r="A361" s="31" t="s">
        <v>398</v>
      </c>
      <c r="B361">
        <v>36</v>
      </c>
      <c r="C361" s="31" t="s">
        <v>16</v>
      </c>
      <c r="D361" s="31" t="s">
        <v>51</v>
      </c>
      <c r="E361" s="31" t="s">
        <v>35</v>
      </c>
      <c r="F361">
        <v>54167</v>
      </c>
      <c r="G361">
        <v>4</v>
      </c>
      <c r="H361">
        <v>3</v>
      </c>
      <c r="I361">
        <v>4</v>
      </c>
      <c r="J361" s="31" t="s">
        <v>20</v>
      </c>
      <c r="K361">
        <v>18</v>
      </c>
      <c r="L361" s="31" t="s">
        <v>19</v>
      </c>
      <c r="M361" s="31" t="s">
        <v>26</v>
      </c>
      <c r="N361">
        <v>6</v>
      </c>
      <c r="O361" s="31" t="s">
        <v>22</v>
      </c>
    </row>
    <row r="362" spans="1:15" x14ac:dyDescent="0.25">
      <c r="A362" s="31" t="s">
        <v>399</v>
      </c>
      <c r="B362">
        <v>26</v>
      </c>
      <c r="C362" s="31" t="s">
        <v>28</v>
      </c>
      <c r="D362" s="31" t="s">
        <v>17</v>
      </c>
      <c r="E362" s="31" t="s">
        <v>25</v>
      </c>
      <c r="F362">
        <v>94406</v>
      </c>
      <c r="G362">
        <v>3</v>
      </c>
      <c r="H362">
        <v>3</v>
      </c>
      <c r="I362">
        <v>3</v>
      </c>
      <c r="J362" s="31" t="s">
        <v>19</v>
      </c>
      <c r="K362">
        <v>19</v>
      </c>
      <c r="L362" s="31" t="s">
        <v>19</v>
      </c>
      <c r="M362" s="31" t="s">
        <v>30</v>
      </c>
      <c r="N362">
        <v>56</v>
      </c>
      <c r="O362" s="31" t="s">
        <v>31</v>
      </c>
    </row>
    <row r="363" spans="1:15" x14ac:dyDescent="0.25">
      <c r="A363" s="31" t="s">
        <v>400</v>
      </c>
      <c r="B363">
        <v>21</v>
      </c>
      <c r="C363" s="31" t="s">
        <v>28</v>
      </c>
      <c r="D363" s="31" t="s">
        <v>51</v>
      </c>
      <c r="E363" s="31" t="s">
        <v>33</v>
      </c>
      <c r="F363">
        <v>84353</v>
      </c>
      <c r="G363">
        <v>1</v>
      </c>
      <c r="H363">
        <v>5</v>
      </c>
      <c r="I363">
        <v>1</v>
      </c>
      <c r="J363" s="31" t="s">
        <v>20</v>
      </c>
      <c r="K363">
        <v>10</v>
      </c>
      <c r="L363" s="31" t="s">
        <v>19</v>
      </c>
      <c r="M363" s="31" t="s">
        <v>26</v>
      </c>
      <c r="N363">
        <v>37</v>
      </c>
      <c r="O363" s="31" t="s">
        <v>31</v>
      </c>
    </row>
    <row r="364" spans="1:15" x14ac:dyDescent="0.25">
      <c r="A364" s="31" t="s">
        <v>401</v>
      </c>
      <c r="B364">
        <v>57</v>
      </c>
      <c r="C364" s="31" t="s">
        <v>28</v>
      </c>
      <c r="D364" s="31" t="s">
        <v>17</v>
      </c>
      <c r="E364" s="31" t="s">
        <v>33</v>
      </c>
      <c r="F364">
        <v>67424</v>
      </c>
      <c r="G364">
        <v>5</v>
      </c>
      <c r="H364">
        <v>4</v>
      </c>
      <c r="I364">
        <v>2</v>
      </c>
      <c r="J364" s="31" t="s">
        <v>20</v>
      </c>
      <c r="K364">
        <v>14</v>
      </c>
      <c r="L364" s="31" t="s">
        <v>20</v>
      </c>
      <c r="M364" s="31" t="s">
        <v>26</v>
      </c>
      <c r="N364">
        <v>8</v>
      </c>
      <c r="O364" s="31" t="s">
        <v>42</v>
      </c>
    </row>
    <row r="365" spans="1:15" x14ac:dyDescent="0.25">
      <c r="A365" s="31" t="s">
        <v>402</v>
      </c>
      <c r="B365">
        <v>28</v>
      </c>
      <c r="C365" s="31" t="s">
        <v>28</v>
      </c>
      <c r="D365" s="31" t="s">
        <v>40</v>
      </c>
      <c r="E365" s="31" t="s">
        <v>33</v>
      </c>
      <c r="F365">
        <v>101055</v>
      </c>
      <c r="G365">
        <v>2</v>
      </c>
      <c r="H365">
        <v>2</v>
      </c>
      <c r="I365">
        <v>3</v>
      </c>
      <c r="J365" s="31" t="s">
        <v>20</v>
      </c>
      <c r="K365">
        <v>11</v>
      </c>
      <c r="L365" s="31" t="s">
        <v>19</v>
      </c>
      <c r="M365" s="31" t="s">
        <v>26</v>
      </c>
      <c r="N365">
        <v>38</v>
      </c>
      <c r="O365" s="31" t="s">
        <v>44</v>
      </c>
    </row>
    <row r="366" spans="1:15" x14ac:dyDescent="0.25">
      <c r="A366" s="31" t="s">
        <v>403</v>
      </c>
      <c r="B366">
        <v>39</v>
      </c>
      <c r="C366" s="31" t="s">
        <v>16</v>
      </c>
      <c r="D366" s="31" t="s">
        <v>49</v>
      </c>
      <c r="E366" s="31" t="s">
        <v>38</v>
      </c>
      <c r="F366">
        <v>116145</v>
      </c>
      <c r="G366">
        <v>3</v>
      </c>
      <c r="H366">
        <v>1</v>
      </c>
      <c r="I366">
        <v>5</v>
      </c>
      <c r="J366" s="31" t="s">
        <v>19</v>
      </c>
      <c r="K366">
        <v>15</v>
      </c>
      <c r="L366" s="31" t="s">
        <v>20</v>
      </c>
      <c r="M366" s="31" t="s">
        <v>30</v>
      </c>
      <c r="N366">
        <v>32</v>
      </c>
      <c r="O366" s="31" t="s">
        <v>31</v>
      </c>
    </row>
    <row r="367" spans="1:15" x14ac:dyDescent="0.25">
      <c r="A367" s="31" t="s">
        <v>404</v>
      </c>
      <c r="B367">
        <v>38</v>
      </c>
      <c r="C367" s="31" t="s">
        <v>16</v>
      </c>
      <c r="D367" s="31" t="s">
        <v>17</v>
      </c>
      <c r="E367" s="31" t="s">
        <v>38</v>
      </c>
      <c r="F367">
        <v>42925</v>
      </c>
      <c r="G367">
        <v>4</v>
      </c>
      <c r="H367">
        <v>2</v>
      </c>
      <c r="I367">
        <v>2</v>
      </c>
      <c r="J367" s="31" t="s">
        <v>19</v>
      </c>
      <c r="K367">
        <v>8</v>
      </c>
      <c r="L367" s="31" t="s">
        <v>19</v>
      </c>
      <c r="M367" s="31" t="s">
        <v>21</v>
      </c>
      <c r="N367">
        <v>30</v>
      </c>
      <c r="O367" s="31" t="s">
        <v>44</v>
      </c>
    </row>
    <row r="368" spans="1:15" x14ac:dyDescent="0.25">
      <c r="A368" s="31" t="s">
        <v>405</v>
      </c>
      <c r="B368">
        <v>43</v>
      </c>
      <c r="C368" s="31" t="s">
        <v>16</v>
      </c>
      <c r="D368" s="31" t="s">
        <v>40</v>
      </c>
      <c r="E368" s="31" t="s">
        <v>35</v>
      </c>
      <c r="F368">
        <v>28287</v>
      </c>
      <c r="G368">
        <v>4</v>
      </c>
      <c r="H368">
        <v>5</v>
      </c>
      <c r="I368">
        <v>1</v>
      </c>
      <c r="J368" s="31" t="s">
        <v>19</v>
      </c>
      <c r="K368">
        <v>15</v>
      </c>
      <c r="L368" s="31" t="s">
        <v>20</v>
      </c>
      <c r="M368" s="31" t="s">
        <v>26</v>
      </c>
      <c r="N368">
        <v>45</v>
      </c>
      <c r="O368" s="31" t="s">
        <v>42</v>
      </c>
    </row>
    <row r="369" spans="1:15" x14ac:dyDescent="0.25">
      <c r="A369" s="31" t="s">
        <v>406</v>
      </c>
      <c r="B369">
        <v>57</v>
      </c>
      <c r="C369" s="31" t="s">
        <v>28</v>
      </c>
      <c r="D369" s="31" t="s">
        <v>49</v>
      </c>
      <c r="E369" s="31" t="s">
        <v>41</v>
      </c>
      <c r="F369">
        <v>118173</v>
      </c>
      <c r="G369">
        <v>5</v>
      </c>
      <c r="H369">
        <v>3</v>
      </c>
      <c r="I369">
        <v>4</v>
      </c>
      <c r="J369" s="31" t="s">
        <v>19</v>
      </c>
      <c r="K369">
        <v>18</v>
      </c>
      <c r="L369" s="31" t="s">
        <v>19</v>
      </c>
      <c r="M369" s="31" t="s">
        <v>21</v>
      </c>
      <c r="N369">
        <v>72</v>
      </c>
      <c r="O369" s="31" t="s">
        <v>42</v>
      </c>
    </row>
    <row r="370" spans="1:15" x14ac:dyDescent="0.25">
      <c r="A370" s="31" t="s">
        <v>407</v>
      </c>
      <c r="B370">
        <v>51</v>
      </c>
      <c r="C370" s="31" t="s">
        <v>16</v>
      </c>
      <c r="D370" s="31" t="s">
        <v>24</v>
      </c>
      <c r="E370" s="31" t="s">
        <v>18</v>
      </c>
      <c r="F370">
        <v>68925</v>
      </c>
      <c r="G370">
        <v>2</v>
      </c>
      <c r="H370">
        <v>4</v>
      </c>
      <c r="I370">
        <v>1</v>
      </c>
      <c r="J370" s="31" t="s">
        <v>20</v>
      </c>
      <c r="K370">
        <v>10</v>
      </c>
      <c r="L370" s="31" t="s">
        <v>19</v>
      </c>
      <c r="M370" s="31" t="s">
        <v>21</v>
      </c>
      <c r="N370">
        <v>31</v>
      </c>
      <c r="O370" s="31" t="s">
        <v>42</v>
      </c>
    </row>
    <row r="371" spans="1:15" x14ac:dyDescent="0.25">
      <c r="A371" s="31" t="s">
        <v>408</v>
      </c>
      <c r="B371">
        <v>58</v>
      </c>
      <c r="C371" s="31" t="s">
        <v>16</v>
      </c>
      <c r="D371" s="31" t="s">
        <v>29</v>
      </c>
      <c r="E371" s="31" t="s">
        <v>18</v>
      </c>
      <c r="F371">
        <v>98318</v>
      </c>
      <c r="G371">
        <v>3</v>
      </c>
      <c r="H371">
        <v>2</v>
      </c>
      <c r="I371">
        <v>5</v>
      </c>
      <c r="J371" s="31" t="s">
        <v>20</v>
      </c>
      <c r="K371">
        <v>7</v>
      </c>
      <c r="L371" s="31" t="s">
        <v>20</v>
      </c>
      <c r="M371" s="31" t="s">
        <v>30</v>
      </c>
      <c r="N371">
        <v>48</v>
      </c>
      <c r="O371" s="31" t="s">
        <v>36</v>
      </c>
    </row>
    <row r="372" spans="1:15" x14ac:dyDescent="0.25">
      <c r="A372" s="31" t="s">
        <v>409</v>
      </c>
      <c r="B372">
        <v>32</v>
      </c>
      <c r="C372" s="31" t="s">
        <v>28</v>
      </c>
      <c r="D372" s="31" t="s">
        <v>49</v>
      </c>
      <c r="E372" s="31" t="s">
        <v>41</v>
      </c>
      <c r="F372">
        <v>72931</v>
      </c>
      <c r="G372">
        <v>3</v>
      </c>
      <c r="H372">
        <v>3</v>
      </c>
      <c r="I372">
        <v>4</v>
      </c>
      <c r="J372" s="31" t="s">
        <v>20</v>
      </c>
      <c r="K372">
        <v>14</v>
      </c>
      <c r="L372" s="31" t="s">
        <v>19</v>
      </c>
      <c r="M372" s="31" t="s">
        <v>26</v>
      </c>
      <c r="N372">
        <v>21</v>
      </c>
      <c r="O372" s="31" t="s">
        <v>31</v>
      </c>
    </row>
    <row r="373" spans="1:15" x14ac:dyDescent="0.25">
      <c r="A373" s="31" t="s">
        <v>410</v>
      </c>
      <c r="B373">
        <v>35</v>
      </c>
      <c r="C373" s="31" t="s">
        <v>16</v>
      </c>
      <c r="D373" s="31" t="s">
        <v>17</v>
      </c>
      <c r="E373" s="31" t="s">
        <v>18</v>
      </c>
      <c r="F373">
        <v>48907</v>
      </c>
      <c r="G373">
        <v>5</v>
      </c>
      <c r="H373">
        <v>4</v>
      </c>
      <c r="I373">
        <v>4</v>
      </c>
      <c r="J373" s="31" t="s">
        <v>19</v>
      </c>
      <c r="K373">
        <v>4</v>
      </c>
      <c r="L373" s="31" t="s">
        <v>19</v>
      </c>
      <c r="M373" s="31" t="s">
        <v>30</v>
      </c>
      <c r="N373">
        <v>6</v>
      </c>
      <c r="O373" s="31" t="s">
        <v>44</v>
      </c>
    </row>
    <row r="374" spans="1:15" x14ac:dyDescent="0.25">
      <c r="A374" s="31" t="s">
        <v>411</v>
      </c>
      <c r="B374">
        <v>47</v>
      </c>
      <c r="C374" s="31" t="s">
        <v>28</v>
      </c>
      <c r="D374" s="31" t="s">
        <v>51</v>
      </c>
      <c r="E374" s="31" t="s">
        <v>38</v>
      </c>
      <c r="F374">
        <v>85765</v>
      </c>
      <c r="G374">
        <v>5</v>
      </c>
      <c r="H374">
        <v>3</v>
      </c>
      <c r="I374">
        <v>4</v>
      </c>
      <c r="J374" s="31" t="s">
        <v>20</v>
      </c>
      <c r="K374">
        <v>8</v>
      </c>
      <c r="L374" s="31" t="s">
        <v>19</v>
      </c>
      <c r="M374" s="31" t="s">
        <v>30</v>
      </c>
      <c r="N374">
        <v>17</v>
      </c>
      <c r="O374" s="31" t="s">
        <v>44</v>
      </c>
    </row>
    <row r="375" spans="1:15" x14ac:dyDescent="0.25">
      <c r="A375" s="31" t="s">
        <v>412</v>
      </c>
      <c r="B375">
        <v>24</v>
      </c>
      <c r="C375" s="31" t="s">
        <v>16</v>
      </c>
      <c r="D375" s="31" t="s">
        <v>29</v>
      </c>
      <c r="E375" s="31" t="s">
        <v>33</v>
      </c>
      <c r="F375">
        <v>100557</v>
      </c>
      <c r="G375">
        <v>1</v>
      </c>
      <c r="H375">
        <v>4</v>
      </c>
      <c r="I375">
        <v>3</v>
      </c>
      <c r="J375" s="31" t="s">
        <v>20</v>
      </c>
      <c r="K375">
        <v>11</v>
      </c>
      <c r="L375" s="31" t="s">
        <v>20</v>
      </c>
      <c r="M375" s="31" t="s">
        <v>26</v>
      </c>
      <c r="N375">
        <v>76</v>
      </c>
      <c r="O375" s="31" t="s">
        <v>36</v>
      </c>
    </row>
    <row r="376" spans="1:15" x14ac:dyDescent="0.25">
      <c r="A376" s="31" t="s">
        <v>413</v>
      </c>
      <c r="B376">
        <v>43</v>
      </c>
      <c r="C376" s="31" t="s">
        <v>16</v>
      </c>
      <c r="D376" s="31" t="s">
        <v>49</v>
      </c>
      <c r="E376" s="31" t="s">
        <v>35</v>
      </c>
      <c r="F376">
        <v>64018</v>
      </c>
      <c r="G376">
        <v>5</v>
      </c>
      <c r="H376">
        <v>2</v>
      </c>
      <c r="I376">
        <v>5</v>
      </c>
      <c r="J376" s="31" t="s">
        <v>19</v>
      </c>
      <c r="K376">
        <v>9</v>
      </c>
      <c r="L376" s="31" t="s">
        <v>20</v>
      </c>
      <c r="M376" s="31" t="s">
        <v>30</v>
      </c>
      <c r="N376">
        <v>70</v>
      </c>
      <c r="O376" s="31" t="s">
        <v>42</v>
      </c>
    </row>
    <row r="377" spans="1:15" x14ac:dyDescent="0.25">
      <c r="A377" s="31" t="s">
        <v>414</v>
      </c>
      <c r="B377">
        <v>49</v>
      </c>
      <c r="C377" s="31" t="s">
        <v>16</v>
      </c>
      <c r="D377" s="31" t="s">
        <v>49</v>
      </c>
      <c r="E377" s="31" t="s">
        <v>25</v>
      </c>
      <c r="F377">
        <v>55555</v>
      </c>
      <c r="G377">
        <v>4</v>
      </c>
      <c r="H377">
        <v>3</v>
      </c>
      <c r="I377">
        <v>2</v>
      </c>
      <c r="J377" s="31" t="s">
        <v>20</v>
      </c>
      <c r="K377">
        <v>13</v>
      </c>
      <c r="L377" s="31" t="s">
        <v>20</v>
      </c>
      <c r="M377" s="31" t="s">
        <v>21</v>
      </c>
      <c r="N377">
        <v>15</v>
      </c>
      <c r="O377" s="31" t="s">
        <v>44</v>
      </c>
    </row>
    <row r="378" spans="1:15" x14ac:dyDescent="0.25">
      <c r="A378" s="31" t="s">
        <v>415</v>
      </c>
      <c r="B378">
        <v>42</v>
      </c>
      <c r="C378" s="31" t="s">
        <v>16</v>
      </c>
      <c r="D378" s="31" t="s">
        <v>29</v>
      </c>
      <c r="E378" s="31" t="s">
        <v>18</v>
      </c>
      <c r="F378">
        <v>103591</v>
      </c>
      <c r="G378">
        <v>3</v>
      </c>
      <c r="H378">
        <v>3</v>
      </c>
      <c r="I378">
        <v>3</v>
      </c>
      <c r="J378" s="31" t="s">
        <v>20</v>
      </c>
      <c r="K378">
        <v>8</v>
      </c>
      <c r="L378" s="31" t="s">
        <v>20</v>
      </c>
      <c r="M378" s="31" t="s">
        <v>30</v>
      </c>
      <c r="N378">
        <v>80</v>
      </c>
      <c r="O378" s="31" t="s">
        <v>31</v>
      </c>
    </row>
    <row r="379" spans="1:15" x14ac:dyDescent="0.25">
      <c r="A379" s="31" t="s">
        <v>416</v>
      </c>
      <c r="B379">
        <v>49</v>
      </c>
      <c r="C379" s="31" t="s">
        <v>28</v>
      </c>
      <c r="D379" s="31" t="s">
        <v>51</v>
      </c>
      <c r="E379" s="31" t="s">
        <v>41</v>
      </c>
      <c r="F379">
        <v>21027</v>
      </c>
      <c r="G379">
        <v>2</v>
      </c>
      <c r="H379">
        <v>2</v>
      </c>
      <c r="I379">
        <v>3</v>
      </c>
      <c r="J379" s="31" t="s">
        <v>19</v>
      </c>
      <c r="K379">
        <v>6</v>
      </c>
      <c r="L379" s="31" t="s">
        <v>19</v>
      </c>
      <c r="M379" s="31" t="s">
        <v>30</v>
      </c>
      <c r="N379">
        <v>18</v>
      </c>
      <c r="O379" s="31" t="s">
        <v>22</v>
      </c>
    </row>
    <row r="380" spans="1:15" x14ac:dyDescent="0.25">
      <c r="A380" s="31" t="s">
        <v>417</v>
      </c>
      <c r="B380">
        <v>25</v>
      </c>
      <c r="C380" s="31" t="s">
        <v>28</v>
      </c>
      <c r="D380" s="31" t="s">
        <v>24</v>
      </c>
      <c r="E380" s="31" t="s">
        <v>35</v>
      </c>
      <c r="F380">
        <v>21455</v>
      </c>
      <c r="G380">
        <v>4</v>
      </c>
      <c r="H380">
        <v>5</v>
      </c>
      <c r="I380">
        <v>1</v>
      </c>
      <c r="J380" s="31" t="s">
        <v>19</v>
      </c>
      <c r="K380">
        <v>8</v>
      </c>
      <c r="L380" s="31" t="s">
        <v>19</v>
      </c>
      <c r="M380" s="31" t="s">
        <v>21</v>
      </c>
      <c r="N380">
        <v>54</v>
      </c>
      <c r="O380" s="31" t="s">
        <v>36</v>
      </c>
    </row>
    <row r="381" spans="1:15" x14ac:dyDescent="0.25">
      <c r="A381" s="31" t="s">
        <v>418</v>
      </c>
      <c r="B381">
        <v>35</v>
      </c>
      <c r="C381" s="31" t="s">
        <v>16</v>
      </c>
      <c r="D381" s="31" t="s">
        <v>17</v>
      </c>
      <c r="E381" s="31" t="s">
        <v>18</v>
      </c>
      <c r="F381">
        <v>76085</v>
      </c>
      <c r="G381">
        <v>2</v>
      </c>
      <c r="H381">
        <v>2</v>
      </c>
      <c r="I381">
        <v>5</v>
      </c>
      <c r="J381" s="31" t="s">
        <v>19</v>
      </c>
      <c r="K381">
        <v>0</v>
      </c>
      <c r="L381" s="31" t="s">
        <v>19</v>
      </c>
      <c r="M381" s="31" t="s">
        <v>26</v>
      </c>
      <c r="N381">
        <v>50</v>
      </c>
      <c r="O381" s="31" t="s">
        <v>36</v>
      </c>
    </row>
    <row r="382" spans="1:15" x14ac:dyDescent="0.25">
      <c r="A382" s="31" t="s">
        <v>419</v>
      </c>
      <c r="B382">
        <v>51</v>
      </c>
      <c r="C382" s="31" t="s">
        <v>28</v>
      </c>
      <c r="D382" s="31" t="s">
        <v>24</v>
      </c>
      <c r="E382" s="31" t="s">
        <v>18</v>
      </c>
      <c r="F382">
        <v>89898</v>
      </c>
      <c r="G382">
        <v>4</v>
      </c>
      <c r="H382">
        <v>2</v>
      </c>
      <c r="I382">
        <v>5</v>
      </c>
      <c r="J382" s="31" t="s">
        <v>19</v>
      </c>
      <c r="K382">
        <v>18</v>
      </c>
      <c r="L382" s="31" t="s">
        <v>20</v>
      </c>
      <c r="M382" s="31" t="s">
        <v>26</v>
      </c>
      <c r="N382">
        <v>77</v>
      </c>
      <c r="O382" s="31" t="s">
        <v>42</v>
      </c>
    </row>
    <row r="383" spans="1:15" x14ac:dyDescent="0.25">
      <c r="A383" s="31" t="s">
        <v>420</v>
      </c>
      <c r="B383">
        <v>54</v>
      </c>
      <c r="C383" s="31" t="s">
        <v>28</v>
      </c>
      <c r="D383" s="31" t="s">
        <v>29</v>
      </c>
      <c r="E383" s="31" t="s">
        <v>33</v>
      </c>
      <c r="F383">
        <v>88735</v>
      </c>
      <c r="G383">
        <v>2</v>
      </c>
      <c r="H383">
        <v>1</v>
      </c>
      <c r="I383">
        <v>4</v>
      </c>
      <c r="J383" s="31" t="s">
        <v>20</v>
      </c>
      <c r="K383">
        <v>11</v>
      </c>
      <c r="L383" s="31" t="s">
        <v>20</v>
      </c>
      <c r="M383" s="31" t="s">
        <v>30</v>
      </c>
      <c r="N383">
        <v>24</v>
      </c>
      <c r="O383" s="31" t="s">
        <v>36</v>
      </c>
    </row>
    <row r="384" spans="1:15" x14ac:dyDescent="0.25">
      <c r="A384" s="31" t="s">
        <v>421</v>
      </c>
      <c r="B384">
        <v>21</v>
      </c>
      <c r="C384" s="31" t="s">
        <v>16</v>
      </c>
      <c r="D384" s="31" t="s">
        <v>24</v>
      </c>
      <c r="E384" s="31" t="s">
        <v>41</v>
      </c>
      <c r="F384">
        <v>63073</v>
      </c>
      <c r="G384">
        <v>3</v>
      </c>
      <c r="H384">
        <v>4</v>
      </c>
      <c r="I384">
        <v>5</v>
      </c>
      <c r="J384" s="31" t="s">
        <v>19</v>
      </c>
      <c r="K384">
        <v>15</v>
      </c>
      <c r="L384" s="31" t="s">
        <v>20</v>
      </c>
      <c r="M384" s="31" t="s">
        <v>30</v>
      </c>
      <c r="N384">
        <v>6</v>
      </c>
      <c r="O384" s="31" t="s">
        <v>42</v>
      </c>
    </row>
    <row r="385" spans="1:15" x14ac:dyDescent="0.25">
      <c r="A385" s="31" t="s">
        <v>422</v>
      </c>
      <c r="B385">
        <v>39</v>
      </c>
      <c r="C385" s="31" t="s">
        <v>16</v>
      </c>
      <c r="D385" s="31" t="s">
        <v>40</v>
      </c>
      <c r="E385" s="31" t="s">
        <v>25</v>
      </c>
      <c r="F385">
        <v>66974</v>
      </c>
      <c r="G385">
        <v>2</v>
      </c>
      <c r="H385">
        <v>4</v>
      </c>
      <c r="I385">
        <v>5</v>
      </c>
      <c r="J385" s="31" t="s">
        <v>20</v>
      </c>
      <c r="K385">
        <v>12</v>
      </c>
      <c r="L385" s="31" t="s">
        <v>19</v>
      </c>
      <c r="M385" s="31" t="s">
        <v>21</v>
      </c>
      <c r="N385">
        <v>54</v>
      </c>
      <c r="O385" s="31" t="s">
        <v>42</v>
      </c>
    </row>
    <row r="386" spans="1:15" x14ac:dyDescent="0.25">
      <c r="A386" s="31" t="s">
        <v>423</v>
      </c>
      <c r="B386">
        <v>35</v>
      </c>
      <c r="C386" s="31" t="s">
        <v>28</v>
      </c>
      <c r="D386" s="31" t="s">
        <v>40</v>
      </c>
      <c r="E386" s="31" t="s">
        <v>33</v>
      </c>
      <c r="F386">
        <v>99962</v>
      </c>
      <c r="G386">
        <v>2</v>
      </c>
      <c r="H386">
        <v>5</v>
      </c>
      <c r="I386">
        <v>5</v>
      </c>
      <c r="J386" s="31" t="s">
        <v>20</v>
      </c>
      <c r="K386">
        <v>9</v>
      </c>
      <c r="L386" s="31" t="s">
        <v>20</v>
      </c>
      <c r="M386" s="31" t="s">
        <v>30</v>
      </c>
      <c r="N386">
        <v>29</v>
      </c>
      <c r="O386" s="31" t="s">
        <v>22</v>
      </c>
    </row>
    <row r="387" spans="1:15" x14ac:dyDescent="0.25">
      <c r="A387" s="31" t="s">
        <v>424</v>
      </c>
      <c r="B387">
        <v>32</v>
      </c>
      <c r="C387" s="31" t="s">
        <v>16</v>
      </c>
      <c r="D387" s="31" t="s">
        <v>29</v>
      </c>
      <c r="E387" s="31" t="s">
        <v>35</v>
      </c>
      <c r="F387">
        <v>101478</v>
      </c>
      <c r="G387">
        <v>4</v>
      </c>
      <c r="H387">
        <v>5</v>
      </c>
      <c r="I387">
        <v>4</v>
      </c>
      <c r="J387" s="31" t="s">
        <v>20</v>
      </c>
      <c r="K387">
        <v>19</v>
      </c>
      <c r="L387" s="31" t="s">
        <v>20</v>
      </c>
      <c r="M387" s="31" t="s">
        <v>21</v>
      </c>
      <c r="N387">
        <v>46</v>
      </c>
      <c r="O387" s="31" t="s">
        <v>22</v>
      </c>
    </row>
    <row r="388" spans="1:15" x14ac:dyDescent="0.25">
      <c r="A388" s="31" t="s">
        <v>425</v>
      </c>
      <c r="B388">
        <v>30</v>
      </c>
      <c r="C388" s="31" t="s">
        <v>16</v>
      </c>
      <c r="D388" s="31" t="s">
        <v>24</v>
      </c>
      <c r="E388" s="31" t="s">
        <v>35</v>
      </c>
      <c r="F388">
        <v>42371</v>
      </c>
      <c r="G388">
        <v>1</v>
      </c>
      <c r="H388">
        <v>3</v>
      </c>
      <c r="I388">
        <v>3</v>
      </c>
      <c r="J388" s="31" t="s">
        <v>19</v>
      </c>
      <c r="K388">
        <v>14</v>
      </c>
      <c r="L388" s="31" t="s">
        <v>19</v>
      </c>
      <c r="M388" s="31" t="s">
        <v>21</v>
      </c>
      <c r="N388">
        <v>16</v>
      </c>
      <c r="O388" s="31" t="s">
        <v>44</v>
      </c>
    </row>
    <row r="389" spans="1:15" x14ac:dyDescent="0.25">
      <c r="A389" s="31" t="s">
        <v>426</v>
      </c>
      <c r="B389">
        <v>21</v>
      </c>
      <c r="C389" s="31" t="s">
        <v>28</v>
      </c>
      <c r="D389" s="31" t="s">
        <v>51</v>
      </c>
      <c r="E389" s="31" t="s">
        <v>18</v>
      </c>
      <c r="F389">
        <v>73082</v>
      </c>
      <c r="G389">
        <v>3</v>
      </c>
      <c r="H389">
        <v>4</v>
      </c>
      <c r="I389">
        <v>3</v>
      </c>
      <c r="J389" s="31" t="s">
        <v>20</v>
      </c>
      <c r="K389">
        <v>1</v>
      </c>
      <c r="L389" s="31" t="s">
        <v>20</v>
      </c>
      <c r="M389" s="31" t="s">
        <v>21</v>
      </c>
      <c r="N389">
        <v>23</v>
      </c>
      <c r="O389" s="31" t="s">
        <v>22</v>
      </c>
    </row>
    <row r="390" spans="1:15" x14ac:dyDescent="0.25">
      <c r="A390" s="31" t="s">
        <v>427</v>
      </c>
      <c r="B390">
        <v>38</v>
      </c>
      <c r="C390" s="31" t="s">
        <v>28</v>
      </c>
      <c r="D390" s="31" t="s">
        <v>40</v>
      </c>
      <c r="E390" s="31" t="s">
        <v>25</v>
      </c>
      <c r="F390">
        <v>79623</v>
      </c>
      <c r="G390">
        <v>2</v>
      </c>
      <c r="H390">
        <v>2</v>
      </c>
      <c r="I390">
        <v>3</v>
      </c>
      <c r="J390" s="31" t="s">
        <v>20</v>
      </c>
      <c r="K390">
        <v>0</v>
      </c>
      <c r="L390" s="31" t="s">
        <v>19</v>
      </c>
      <c r="M390" s="31" t="s">
        <v>26</v>
      </c>
      <c r="N390">
        <v>36</v>
      </c>
      <c r="O390" s="31" t="s">
        <v>42</v>
      </c>
    </row>
    <row r="391" spans="1:15" x14ac:dyDescent="0.25">
      <c r="A391" s="31" t="s">
        <v>428</v>
      </c>
      <c r="B391">
        <v>49</v>
      </c>
      <c r="C391" s="31" t="s">
        <v>16</v>
      </c>
      <c r="D391" s="31" t="s">
        <v>17</v>
      </c>
      <c r="E391" s="31" t="s">
        <v>35</v>
      </c>
      <c r="F391">
        <v>44106</v>
      </c>
      <c r="G391">
        <v>3</v>
      </c>
      <c r="H391">
        <v>1</v>
      </c>
      <c r="I391">
        <v>5</v>
      </c>
      <c r="J391" s="31" t="s">
        <v>19</v>
      </c>
      <c r="K391">
        <v>15</v>
      </c>
      <c r="L391" s="31" t="s">
        <v>20</v>
      </c>
      <c r="M391" s="31" t="s">
        <v>26</v>
      </c>
      <c r="N391">
        <v>44</v>
      </c>
      <c r="O391" s="31" t="s">
        <v>36</v>
      </c>
    </row>
    <row r="392" spans="1:15" x14ac:dyDescent="0.25">
      <c r="A392" s="31" t="s">
        <v>429</v>
      </c>
      <c r="B392">
        <v>31</v>
      </c>
      <c r="C392" s="31" t="s">
        <v>16</v>
      </c>
      <c r="D392" s="31" t="s">
        <v>17</v>
      </c>
      <c r="E392" s="31" t="s">
        <v>25</v>
      </c>
      <c r="F392">
        <v>86278</v>
      </c>
      <c r="G392">
        <v>1</v>
      </c>
      <c r="H392">
        <v>3</v>
      </c>
      <c r="I392">
        <v>4</v>
      </c>
      <c r="J392" s="31" t="s">
        <v>20</v>
      </c>
      <c r="K392">
        <v>6</v>
      </c>
      <c r="L392" s="31" t="s">
        <v>20</v>
      </c>
      <c r="M392" s="31" t="s">
        <v>21</v>
      </c>
      <c r="N392">
        <v>32</v>
      </c>
      <c r="O392" s="31" t="s">
        <v>22</v>
      </c>
    </row>
    <row r="393" spans="1:15" x14ac:dyDescent="0.25">
      <c r="A393" s="31" t="s">
        <v>430</v>
      </c>
      <c r="B393">
        <v>36</v>
      </c>
      <c r="C393" s="31" t="s">
        <v>28</v>
      </c>
      <c r="D393" s="31" t="s">
        <v>29</v>
      </c>
      <c r="E393" s="31" t="s">
        <v>35</v>
      </c>
      <c r="F393">
        <v>39936</v>
      </c>
      <c r="G393">
        <v>3</v>
      </c>
      <c r="H393">
        <v>5</v>
      </c>
      <c r="I393">
        <v>1</v>
      </c>
      <c r="J393" s="31" t="s">
        <v>20</v>
      </c>
      <c r="K393">
        <v>7</v>
      </c>
      <c r="L393" s="31" t="s">
        <v>19</v>
      </c>
      <c r="M393" s="31" t="s">
        <v>21</v>
      </c>
      <c r="N393">
        <v>79</v>
      </c>
      <c r="O393" s="31" t="s">
        <v>42</v>
      </c>
    </row>
    <row r="394" spans="1:15" x14ac:dyDescent="0.25">
      <c r="A394" s="31" t="s">
        <v>431</v>
      </c>
      <c r="B394">
        <v>30</v>
      </c>
      <c r="C394" s="31" t="s">
        <v>28</v>
      </c>
      <c r="D394" s="31" t="s">
        <v>40</v>
      </c>
      <c r="E394" s="31" t="s">
        <v>41</v>
      </c>
      <c r="F394">
        <v>38669</v>
      </c>
      <c r="G394">
        <v>4</v>
      </c>
      <c r="H394">
        <v>1</v>
      </c>
      <c r="I394">
        <v>5</v>
      </c>
      <c r="J394" s="31" t="s">
        <v>20</v>
      </c>
      <c r="K394">
        <v>20</v>
      </c>
      <c r="L394" s="31" t="s">
        <v>19</v>
      </c>
      <c r="M394" s="31" t="s">
        <v>21</v>
      </c>
      <c r="N394">
        <v>50</v>
      </c>
      <c r="O394" s="31" t="s">
        <v>44</v>
      </c>
    </row>
    <row r="395" spans="1:15" x14ac:dyDescent="0.25">
      <c r="A395" s="31" t="s">
        <v>432</v>
      </c>
      <c r="B395">
        <v>55</v>
      </c>
      <c r="C395" s="31" t="s">
        <v>16</v>
      </c>
      <c r="D395" s="31" t="s">
        <v>51</v>
      </c>
      <c r="E395" s="31" t="s">
        <v>33</v>
      </c>
      <c r="F395">
        <v>48497</v>
      </c>
      <c r="G395">
        <v>3</v>
      </c>
      <c r="H395">
        <v>3</v>
      </c>
      <c r="I395">
        <v>3</v>
      </c>
      <c r="J395" s="31" t="s">
        <v>20</v>
      </c>
      <c r="K395">
        <v>6</v>
      </c>
      <c r="L395" s="31" t="s">
        <v>19</v>
      </c>
      <c r="M395" s="31" t="s">
        <v>26</v>
      </c>
      <c r="N395">
        <v>53</v>
      </c>
      <c r="O395" s="31" t="s">
        <v>36</v>
      </c>
    </row>
    <row r="396" spans="1:15" x14ac:dyDescent="0.25">
      <c r="A396" s="31" t="s">
        <v>433</v>
      </c>
      <c r="B396">
        <v>29</v>
      </c>
      <c r="C396" s="31" t="s">
        <v>28</v>
      </c>
      <c r="D396" s="31" t="s">
        <v>40</v>
      </c>
      <c r="E396" s="31" t="s">
        <v>33</v>
      </c>
      <c r="F396">
        <v>110618</v>
      </c>
      <c r="G396">
        <v>4</v>
      </c>
      <c r="H396">
        <v>5</v>
      </c>
      <c r="I396">
        <v>3</v>
      </c>
      <c r="J396" s="31" t="s">
        <v>20</v>
      </c>
      <c r="K396">
        <v>6</v>
      </c>
      <c r="L396" s="31" t="s">
        <v>19</v>
      </c>
      <c r="M396" s="31" t="s">
        <v>26</v>
      </c>
      <c r="N396">
        <v>49</v>
      </c>
      <c r="O396" s="31" t="s">
        <v>36</v>
      </c>
    </row>
    <row r="397" spans="1:15" x14ac:dyDescent="0.25">
      <c r="A397" s="31" t="s">
        <v>434</v>
      </c>
      <c r="B397">
        <v>50</v>
      </c>
      <c r="C397" s="31" t="s">
        <v>28</v>
      </c>
      <c r="D397" s="31" t="s">
        <v>24</v>
      </c>
      <c r="E397" s="31" t="s">
        <v>25</v>
      </c>
      <c r="F397">
        <v>39016</v>
      </c>
      <c r="G397">
        <v>1</v>
      </c>
      <c r="H397">
        <v>5</v>
      </c>
      <c r="I397">
        <v>2</v>
      </c>
      <c r="J397" s="31" t="s">
        <v>20</v>
      </c>
      <c r="K397">
        <v>9</v>
      </c>
      <c r="L397" s="31" t="s">
        <v>20</v>
      </c>
      <c r="M397" s="31" t="s">
        <v>26</v>
      </c>
      <c r="N397">
        <v>51</v>
      </c>
      <c r="O397" s="31" t="s">
        <v>42</v>
      </c>
    </row>
    <row r="398" spans="1:15" x14ac:dyDescent="0.25">
      <c r="A398" s="31" t="s">
        <v>435</v>
      </c>
      <c r="B398">
        <v>21</v>
      </c>
      <c r="C398" s="31" t="s">
        <v>28</v>
      </c>
      <c r="D398" s="31" t="s">
        <v>17</v>
      </c>
      <c r="E398" s="31" t="s">
        <v>41</v>
      </c>
      <c r="F398">
        <v>20453</v>
      </c>
      <c r="G398">
        <v>5</v>
      </c>
      <c r="H398">
        <v>3</v>
      </c>
      <c r="I398">
        <v>5</v>
      </c>
      <c r="J398" s="31" t="s">
        <v>19</v>
      </c>
      <c r="K398">
        <v>10</v>
      </c>
      <c r="L398" s="31" t="s">
        <v>19</v>
      </c>
      <c r="M398" s="31" t="s">
        <v>26</v>
      </c>
      <c r="N398">
        <v>73</v>
      </c>
      <c r="O398" s="31" t="s">
        <v>42</v>
      </c>
    </row>
    <row r="399" spans="1:15" x14ac:dyDescent="0.25">
      <c r="A399" s="31" t="s">
        <v>436</v>
      </c>
      <c r="B399">
        <v>33</v>
      </c>
      <c r="C399" s="31" t="s">
        <v>28</v>
      </c>
      <c r="D399" s="31" t="s">
        <v>24</v>
      </c>
      <c r="E399" s="31" t="s">
        <v>41</v>
      </c>
      <c r="F399">
        <v>98352</v>
      </c>
      <c r="G399">
        <v>3</v>
      </c>
      <c r="H399">
        <v>3</v>
      </c>
      <c r="I399">
        <v>4</v>
      </c>
      <c r="J399" s="31" t="s">
        <v>20</v>
      </c>
      <c r="K399">
        <v>3</v>
      </c>
      <c r="L399" s="31" t="s">
        <v>19</v>
      </c>
      <c r="M399" s="31" t="s">
        <v>26</v>
      </c>
      <c r="N399">
        <v>13</v>
      </c>
      <c r="O399" s="31" t="s">
        <v>22</v>
      </c>
    </row>
    <row r="400" spans="1:15" x14ac:dyDescent="0.25">
      <c r="A400" s="31" t="s">
        <v>437</v>
      </c>
      <c r="B400">
        <v>29</v>
      </c>
      <c r="C400" s="31" t="s">
        <v>16</v>
      </c>
      <c r="D400" s="31" t="s">
        <v>40</v>
      </c>
      <c r="E400" s="31" t="s">
        <v>41</v>
      </c>
      <c r="F400">
        <v>32031</v>
      </c>
      <c r="G400">
        <v>4</v>
      </c>
      <c r="H400">
        <v>2</v>
      </c>
      <c r="I400">
        <v>1</v>
      </c>
      <c r="J400" s="31" t="s">
        <v>19</v>
      </c>
      <c r="K400">
        <v>18</v>
      </c>
      <c r="L400" s="31" t="s">
        <v>20</v>
      </c>
      <c r="M400" s="31" t="s">
        <v>26</v>
      </c>
      <c r="N400">
        <v>67</v>
      </c>
      <c r="O400" s="31" t="s">
        <v>31</v>
      </c>
    </row>
    <row r="401" spans="1:15" x14ac:dyDescent="0.25">
      <c r="A401" s="31" t="s">
        <v>438</v>
      </c>
      <c r="B401">
        <v>58</v>
      </c>
      <c r="C401" s="31" t="s">
        <v>28</v>
      </c>
      <c r="D401" s="31" t="s">
        <v>40</v>
      </c>
      <c r="E401" s="31" t="s">
        <v>18</v>
      </c>
      <c r="F401">
        <v>46930</v>
      </c>
      <c r="G401">
        <v>5</v>
      </c>
      <c r="H401">
        <v>1</v>
      </c>
      <c r="I401">
        <v>1</v>
      </c>
      <c r="J401" s="31" t="s">
        <v>19</v>
      </c>
      <c r="K401">
        <v>20</v>
      </c>
      <c r="L401" s="31" t="s">
        <v>20</v>
      </c>
      <c r="M401" s="31" t="s">
        <v>21</v>
      </c>
      <c r="N401">
        <v>64</v>
      </c>
      <c r="O401" s="31" t="s">
        <v>22</v>
      </c>
    </row>
    <row r="402" spans="1:15" x14ac:dyDescent="0.25">
      <c r="A402" s="31" t="s">
        <v>439</v>
      </c>
      <c r="B402">
        <v>44</v>
      </c>
      <c r="C402" s="31" t="s">
        <v>28</v>
      </c>
      <c r="D402" s="31" t="s">
        <v>29</v>
      </c>
      <c r="E402" s="31" t="s">
        <v>38</v>
      </c>
      <c r="F402">
        <v>25641</v>
      </c>
      <c r="G402">
        <v>5</v>
      </c>
      <c r="H402">
        <v>3</v>
      </c>
      <c r="I402">
        <v>5</v>
      </c>
      <c r="J402" s="31" t="s">
        <v>19</v>
      </c>
      <c r="K402">
        <v>2</v>
      </c>
      <c r="L402" s="31" t="s">
        <v>20</v>
      </c>
      <c r="M402" s="31" t="s">
        <v>21</v>
      </c>
      <c r="N402">
        <v>32</v>
      </c>
      <c r="O402" s="31" t="s">
        <v>31</v>
      </c>
    </row>
    <row r="403" spans="1:15" x14ac:dyDescent="0.25">
      <c r="A403" s="31" t="s">
        <v>440</v>
      </c>
      <c r="B403">
        <v>27</v>
      </c>
      <c r="C403" s="31" t="s">
        <v>16</v>
      </c>
      <c r="D403" s="31" t="s">
        <v>17</v>
      </c>
      <c r="E403" s="31" t="s">
        <v>41</v>
      </c>
      <c r="F403">
        <v>87685</v>
      </c>
      <c r="G403">
        <v>4</v>
      </c>
      <c r="H403">
        <v>2</v>
      </c>
      <c r="I403">
        <v>2</v>
      </c>
      <c r="J403" s="31" t="s">
        <v>19</v>
      </c>
      <c r="K403">
        <v>18</v>
      </c>
      <c r="L403" s="31" t="s">
        <v>19</v>
      </c>
      <c r="M403" s="31" t="s">
        <v>26</v>
      </c>
      <c r="N403">
        <v>76</v>
      </c>
      <c r="O403" s="31" t="s">
        <v>42</v>
      </c>
    </row>
    <row r="404" spans="1:15" x14ac:dyDescent="0.25">
      <c r="A404" s="31" t="s">
        <v>441</v>
      </c>
      <c r="B404">
        <v>27</v>
      </c>
      <c r="C404" s="31" t="s">
        <v>28</v>
      </c>
      <c r="D404" s="31" t="s">
        <v>17</v>
      </c>
      <c r="E404" s="31" t="s">
        <v>33</v>
      </c>
      <c r="F404">
        <v>110084</v>
      </c>
      <c r="G404">
        <v>4</v>
      </c>
      <c r="H404">
        <v>1</v>
      </c>
      <c r="I404">
        <v>2</v>
      </c>
      <c r="J404" s="31" t="s">
        <v>19</v>
      </c>
      <c r="K404">
        <v>17</v>
      </c>
      <c r="L404" s="31" t="s">
        <v>20</v>
      </c>
      <c r="M404" s="31" t="s">
        <v>26</v>
      </c>
      <c r="N404">
        <v>48</v>
      </c>
      <c r="O404" s="31" t="s">
        <v>44</v>
      </c>
    </row>
    <row r="405" spans="1:15" x14ac:dyDescent="0.25">
      <c r="A405" s="31" t="s">
        <v>442</v>
      </c>
      <c r="B405">
        <v>55</v>
      </c>
      <c r="C405" s="31" t="s">
        <v>28</v>
      </c>
      <c r="D405" s="31" t="s">
        <v>29</v>
      </c>
      <c r="E405" s="31" t="s">
        <v>18</v>
      </c>
      <c r="F405">
        <v>90100</v>
      </c>
      <c r="G405">
        <v>3</v>
      </c>
      <c r="H405">
        <v>3</v>
      </c>
      <c r="I405">
        <v>4</v>
      </c>
      <c r="J405" s="31" t="s">
        <v>20</v>
      </c>
      <c r="K405">
        <v>10</v>
      </c>
      <c r="L405" s="31" t="s">
        <v>19</v>
      </c>
      <c r="M405" s="31" t="s">
        <v>26</v>
      </c>
      <c r="N405">
        <v>74</v>
      </c>
      <c r="O405" s="31" t="s">
        <v>44</v>
      </c>
    </row>
    <row r="406" spans="1:15" x14ac:dyDescent="0.25">
      <c r="A406" s="31" t="s">
        <v>443</v>
      </c>
      <c r="B406">
        <v>39</v>
      </c>
      <c r="C406" s="31" t="s">
        <v>28</v>
      </c>
      <c r="D406" s="31" t="s">
        <v>29</v>
      </c>
      <c r="E406" s="31" t="s">
        <v>33</v>
      </c>
      <c r="F406">
        <v>76654</v>
      </c>
      <c r="G406">
        <v>4</v>
      </c>
      <c r="H406">
        <v>1</v>
      </c>
      <c r="I406">
        <v>1</v>
      </c>
      <c r="J406" s="31" t="s">
        <v>20</v>
      </c>
      <c r="K406">
        <v>19</v>
      </c>
      <c r="L406" s="31" t="s">
        <v>19</v>
      </c>
      <c r="M406" s="31" t="s">
        <v>26</v>
      </c>
      <c r="N406">
        <v>22</v>
      </c>
      <c r="O406" s="31" t="s">
        <v>36</v>
      </c>
    </row>
    <row r="407" spans="1:15" x14ac:dyDescent="0.25">
      <c r="A407" s="31" t="s">
        <v>444</v>
      </c>
      <c r="B407">
        <v>21</v>
      </c>
      <c r="C407" s="31" t="s">
        <v>28</v>
      </c>
      <c r="D407" s="31" t="s">
        <v>51</v>
      </c>
      <c r="E407" s="31" t="s">
        <v>41</v>
      </c>
      <c r="F407">
        <v>59275</v>
      </c>
      <c r="G407">
        <v>1</v>
      </c>
      <c r="H407">
        <v>3</v>
      </c>
      <c r="I407">
        <v>5</v>
      </c>
      <c r="J407" s="31" t="s">
        <v>19</v>
      </c>
      <c r="K407">
        <v>3</v>
      </c>
      <c r="L407" s="31" t="s">
        <v>19</v>
      </c>
      <c r="M407" s="31" t="s">
        <v>30</v>
      </c>
      <c r="N407">
        <v>50</v>
      </c>
      <c r="O407" s="31" t="s">
        <v>44</v>
      </c>
    </row>
    <row r="408" spans="1:15" x14ac:dyDescent="0.25">
      <c r="A408" s="31" t="s">
        <v>445</v>
      </c>
      <c r="B408">
        <v>39</v>
      </c>
      <c r="C408" s="31" t="s">
        <v>28</v>
      </c>
      <c r="D408" s="31" t="s">
        <v>29</v>
      </c>
      <c r="E408" s="31" t="s">
        <v>25</v>
      </c>
      <c r="F408">
        <v>50749</v>
      </c>
      <c r="G408">
        <v>2</v>
      </c>
      <c r="H408">
        <v>3</v>
      </c>
      <c r="I408">
        <v>3</v>
      </c>
      <c r="J408" s="31" t="s">
        <v>19</v>
      </c>
      <c r="K408">
        <v>18</v>
      </c>
      <c r="L408" s="31" t="s">
        <v>20</v>
      </c>
      <c r="M408" s="31" t="s">
        <v>26</v>
      </c>
      <c r="N408">
        <v>32</v>
      </c>
      <c r="O408" s="31" t="s">
        <v>22</v>
      </c>
    </row>
    <row r="409" spans="1:15" x14ac:dyDescent="0.25">
      <c r="A409" s="31" t="s">
        <v>446</v>
      </c>
      <c r="B409">
        <v>41</v>
      </c>
      <c r="C409" s="31" t="s">
        <v>28</v>
      </c>
      <c r="D409" s="31" t="s">
        <v>51</v>
      </c>
      <c r="E409" s="31" t="s">
        <v>33</v>
      </c>
      <c r="F409">
        <v>108386</v>
      </c>
      <c r="G409">
        <v>5</v>
      </c>
      <c r="H409">
        <v>1</v>
      </c>
      <c r="I409">
        <v>5</v>
      </c>
      <c r="J409" s="31" t="s">
        <v>20</v>
      </c>
      <c r="K409">
        <v>1</v>
      </c>
      <c r="L409" s="31" t="s">
        <v>20</v>
      </c>
      <c r="M409" s="31" t="s">
        <v>21</v>
      </c>
      <c r="N409">
        <v>12</v>
      </c>
      <c r="O409" s="31" t="s">
        <v>36</v>
      </c>
    </row>
    <row r="410" spans="1:15" x14ac:dyDescent="0.25">
      <c r="A410" s="31" t="s">
        <v>447</v>
      </c>
      <c r="B410">
        <v>43</v>
      </c>
      <c r="C410" s="31" t="s">
        <v>28</v>
      </c>
      <c r="D410" s="31" t="s">
        <v>49</v>
      </c>
      <c r="E410" s="31" t="s">
        <v>35</v>
      </c>
      <c r="F410">
        <v>118976</v>
      </c>
      <c r="G410">
        <v>2</v>
      </c>
      <c r="H410">
        <v>3</v>
      </c>
      <c r="I410">
        <v>1</v>
      </c>
      <c r="J410" s="31" t="s">
        <v>20</v>
      </c>
      <c r="K410">
        <v>1</v>
      </c>
      <c r="L410" s="31" t="s">
        <v>20</v>
      </c>
      <c r="M410" s="31" t="s">
        <v>26</v>
      </c>
      <c r="N410">
        <v>10</v>
      </c>
      <c r="O410" s="31" t="s">
        <v>36</v>
      </c>
    </row>
    <row r="411" spans="1:15" x14ac:dyDescent="0.25">
      <c r="A411" s="31" t="s">
        <v>448</v>
      </c>
      <c r="B411">
        <v>55</v>
      </c>
      <c r="C411" s="31" t="s">
        <v>16</v>
      </c>
      <c r="D411" s="31" t="s">
        <v>29</v>
      </c>
      <c r="E411" s="31" t="s">
        <v>25</v>
      </c>
      <c r="F411">
        <v>109457</v>
      </c>
      <c r="G411">
        <v>2</v>
      </c>
      <c r="H411">
        <v>2</v>
      </c>
      <c r="I411">
        <v>1</v>
      </c>
      <c r="J411" s="31" t="s">
        <v>20</v>
      </c>
      <c r="K411">
        <v>14</v>
      </c>
      <c r="L411" s="31" t="s">
        <v>19</v>
      </c>
      <c r="M411" s="31" t="s">
        <v>21</v>
      </c>
      <c r="N411">
        <v>60</v>
      </c>
      <c r="O411" s="31" t="s">
        <v>36</v>
      </c>
    </row>
    <row r="412" spans="1:15" x14ac:dyDescent="0.25">
      <c r="A412" s="31" t="s">
        <v>449</v>
      </c>
      <c r="B412">
        <v>46</v>
      </c>
      <c r="C412" s="31" t="s">
        <v>16</v>
      </c>
      <c r="D412" s="31" t="s">
        <v>51</v>
      </c>
      <c r="E412" s="31" t="s">
        <v>18</v>
      </c>
      <c r="F412">
        <v>28819</v>
      </c>
      <c r="G412">
        <v>4</v>
      </c>
      <c r="H412">
        <v>5</v>
      </c>
      <c r="I412">
        <v>1</v>
      </c>
      <c r="J412" s="31" t="s">
        <v>20</v>
      </c>
      <c r="K412">
        <v>8</v>
      </c>
      <c r="L412" s="31" t="s">
        <v>19</v>
      </c>
      <c r="M412" s="31" t="s">
        <v>30</v>
      </c>
      <c r="N412">
        <v>69</v>
      </c>
      <c r="O412" s="31" t="s">
        <v>42</v>
      </c>
    </row>
    <row r="413" spans="1:15" x14ac:dyDescent="0.25">
      <c r="A413" s="31" t="s">
        <v>450</v>
      </c>
      <c r="B413">
        <v>29</v>
      </c>
      <c r="C413" s="31" t="s">
        <v>16</v>
      </c>
      <c r="D413" s="31" t="s">
        <v>49</v>
      </c>
      <c r="E413" s="31" t="s">
        <v>25</v>
      </c>
      <c r="F413">
        <v>43966</v>
      </c>
      <c r="G413">
        <v>4</v>
      </c>
      <c r="H413">
        <v>4</v>
      </c>
      <c r="I413">
        <v>5</v>
      </c>
      <c r="J413" s="31" t="s">
        <v>19</v>
      </c>
      <c r="K413">
        <v>17</v>
      </c>
      <c r="L413" s="31" t="s">
        <v>19</v>
      </c>
      <c r="M413" s="31" t="s">
        <v>21</v>
      </c>
      <c r="N413">
        <v>14</v>
      </c>
      <c r="O413" s="31" t="s">
        <v>36</v>
      </c>
    </row>
    <row r="414" spans="1:15" x14ac:dyDescent="0.25">
      <c r="A414" s="31" t="s">
        <v>451</v>
      </c>
      <c r="B414">
        <v>48</v>
      </c>
      <c r="C414" s="31" t="s">
        <v>28</v>
      </c>
      <c r="D414" s="31" t="s">
        <v>17</v>
      </c>
      <c r="E414" s="31" t="s">
        <v>25</v>
      </c>
      <c r="F414">
        <v>29743</v>
      </c>
      <c r="G414">
        <v>1</v>
      </c>
      <c r="H414">
        <v>4</v>
      </c>
      <c r="I414">
        <v>4</v>
      </c>
      <c r="J414" s="31" t="s">
        <v>20</v>
      </c>
      <c r="K414">
        <v>11</v>
      </c>
      <c r="L414" s="31" t="s">
        <v>19</v>
      </c>
      <c r="M414" s="31" t="s">
        <v>30</v>
      </c>
      <c r="N414">
        <v>49</v>
      </c>
      <c r="O414" s="31" t="s">
        <v>31</v>
      </c>
    </row>
    <row r="415" spans="1:15" x14ac:dyDescent="0.25">
      <c r="A415" s="31" t="s">
        <v>452</v>
      </c>
      <c r="B415">
        <v>22</v>
      </c>
      <c r="C415" s="31" t="s">
        <v>28</v>
      </c>
      <c r="D415" s="31" t="s">
        <v>51</v>
      </c>
      <c r="E415" s="31" t="s">
        <v>18</v>
      </c>
      <c r="F415">
        <v>98769</v>
      </c>
      <c r="G415">
        <v>4</v>
      </c>
      <c r="H415">
        <v>5</v>
      </c>
      <c r="I415">
        <v>2</v>
      </c>
      <c r="J415" s="31" t="s">
        <v>20</v>
      </c>
      <c r="K415">
        <v>1</v>
      </c>
      <c r="L415" s="31" t="s">
        <v>19</v>
      </c>
      <c r="M415" s="31" t="s">
        <v>21</v>
      </c>
      <c r="N415">
        <v>52</v>
      </c>
      <c r="O415" s="31" t="s">
        <v>44</v>
      </c>
    </row>
    <row r="416" spans="1:15" x14ac:dyDescent="0.25">
      <c r="A416" s="31" t="s">
        <v>453</v>
      </c>
      <c r="B416">
        <v>26</v>
      </c>
      <c r="C416" s="31" t="s">
        <v>16</v>
      </c>
      <c r="D416" s="31" t="s">
        <v>17</v>
      </c>
      <c r="E416" s="31" t="s">
        <v>35</v>
      </c>
      <c r="F416">
        <v>49856</v>
      </c>
      <c r="G416">
        <v>5</v>
      </c>
      <c r="H416">
        <v>3</v>
      </c>
      <c r="I416">
        <v>3</v>
      </c>
      <c r="J416" s="31" t="s">
        <v>19</v>
      </c>
      <c r="K416">
        <v>10</v>
      </c>
      <c r="L416" s="31" t="s">
        <v>19</v>
      </c>
      <c r="M416" s="31" t="s">
        <v>30</v>
      </c>
      <c r="N416">
        <v>62</v>
      </c>
      <c r="O416" s="31" t="s">
        <v>42</v>
      </c>
    </row>
    <row r="417" spans="1:15" x14ac:dyDescent="0.25">
      <c r="A417" s="31" t="s">
        <v>454</v>
      </c>
      <c r="B417">
        <v>22</v>
      </c>
      <c r="C417" s="31" t="s">
        <v>28</v>
      </c>
      <c r="D417" s="31" t="s">
        <v>51</v>
      </c>
      <c r="E417" s="31" t="s">
        <v>38</v>
      </c>
      <c r="F417">
        <v>88517</v>
      </c>
      <c r="G417">
        <v>2</v>
      </c>
      <c r="H417">
        <v>2</v>
      </c>
      <c r="I417">
        <v>5</v>
      </c>
      <c r="J417" s="31" t="s">
        <v>20</v>
      </c>
      <c r="K417">
        <v>17</v>
      </c>
      <c r="L417" s="31" t="s">
        <v>20</v>
      </c>
      <c r="M417" s="31" t="s">
        <v>26</v>
      </c>
      <c r="N417">
        <v>23</v>
      </c>
      <c r="O417" s="31" t="s">
        <v>22</v>
      </c>
    </row>
    <row r="418" spans="1:15" x14ac:dyDescent="0.25">
      <c r="A418" s="31" t="s">
        <v>455</v>
      </c>
      <c r="B418">
        <v>45</v>
      </c>
      <c r="C418" s="31" t="s">
        <v>16</v>
      </c>
      <c r="D418" s="31" t="s">
        <v>29</v>
      </c>
      <c r="E418" s="31" t="s">
        <v>41</v>
      </c>
      <c r="F418">
        <v>25878</v>
      </c>
      <c r="G418">
        <v>3</v>
      </c>
      <c r="H418">
        <v>2</v>
      </c>
      <c r="I418">
        <v>5</v>
      </c>
      <c r="J418" s="31" t="s">
        <v>20</v>
      </c>
      <c r="K418">
        <v>1</v>
      </c>
      <c r="L418" s="31" t="s">
        <v>20</v>
      </c>
      <c r="M418" s="31" t="s">
        <v>26</v>
      </c>
      <c r="N418">
        <v>6</v>
      </c>
      <c r="O418" s="31" t="s">
        <v>22</v>
      </c>
    </row>
    <row r="419" spans="1:15" x14ac:dyDescent="0.25">
      <c r="A419" s="31" t="s">
        <v>456</v>
      </c>
      <c r="B419">
        <v>45</v>
      </c>
      <c r="C419" s="31" t="s">
        <v>28</v>
      </c>
      <c r="D419" s="31" t="s">
        <v>17</v>
      </c>
      <c r="E419" s="31" t="s">
        <v>38</v>
      </c>
      <c r="F419">
        <v>65214</v>
      </c>
      <c r="G419">
        <v>1</v>
      </c>
      <c r="H419">
        <v>1</v>
      </c>
      <c r="I419">
        <v>3</v>
      </c>
      <c r="J419" s="31" t="s">
        <v>20</v>
      </c>
      <c r="K419">
        <v>7</v>
      </c>
      <c r="L419" s="31" t="s">
        <v>20</v>
      </c>
      <c r="M419" s="31" t="s">
        <v>26</v>
      </c>
      <c r="N419">
        <v>17</v>
      </c>
      <c r="O419" s="31" t="s">
        <v>36</v>
      </c>
    </row>
    <row r="420" spans="1:15" x14ac:dyDescent="0.25">
      <c r="A420" s="31" t="s">
        <v>457</v>
      </c>
      <c r="B420">
        <v>52</v>
      </c>
      <c r="C420" s="31" t="s">
        <v>16</v>
      </c>
      <c r="D420" s="31" t="s">
        <v>51</v>
      </c>
      <c r="E420" s="31" t="s">
        <v>41</v>
      </c>
      <c r="F420">
        <v>83621</v>
      </c>
      <c r="G420">
        <v>4</v>
      </c>
      <c r="H420">
        <v>5</v>
      </c>
      <c r="I420">
        <v>1</v>
      </c>
      <c r="J420" s="31" t="s">
        <v>19</v>
      </c>
      <c r="K420">
        <v>7</v>
      </c>
      <c r="L420" s="31" t="s">
        <v>20</v>
      </c>
      <c r="M420" s="31" t="s">
        <v>30</v>
      </c>
      <c r="N420">
        <v>67</v>
      </c>
      <c r="O420" s="31" t="s">
        <v>42</v>
      </c>
    </row>
    <row r="421" spans="1:15" x14ac:dyDescent="0.25">
      <c r="A421" s="31" t="s">
        <v>458</v>
      </c>
      <c r="B421">
        <v>31</v>
      </c>
      <c r="C421" s="31" t="s">
        <v>16</v>
      </c>
      <c r="D421" s="31" t="s">
        <v>29</v>
      </c>
      <c r="E421" s="31" t="s">
        <v>38</v>
      </c>
      <c r="F421">
        <v>64125</v>
      </c>
      <c r="G421">
        <v>3</v>
      </c>
      <c r="H421">
        <v>3</v>
      </c>
      <c r="I421">
        <v>2</v>
      </c>
      <c r="J421" s="31" t="s">
        <v>20</v>
      </c>
      <c r="K421">
        <v>1</v>
      </c>
      <c r="L421" s="31" t="s">
        <v>20</v>
      </c>
      <c r="M421" s="31" t="s">
        <v>30</v>
      </c>
      <c r="N421">
        <v>8</v>
      </c>
      <c r="O421" s="31" t="s">
        <v>31</v>
      </c>
    </row>
    <row r="422" spans="1:15" x14ac:dyDescent="0.25">
      <c r="A422" s="31" t="s">
        <v>459</v>
      </c>
      <c r="B422">
        <v>38</v>
      </c>
      <c r="C422" s="31" t="s">
        <v>16</v>
      </c>
      <c r="D422" s="31" t="s">
        <v>51</v>
      </c>
      <c r="E422" s="31" t="s">
        <v>18</v>
      </c>
      <c r="F422">
        <v>69491</v>
      </c>
      <c r="G422">
        <v>2</v>
      </c>
      <c r="H422">
        <v>3</v>
      </c>
      <c r="I422">
        <v>4</v>
      </c>
      <c r="J422" s="31" t="s">
        <v>19</v>
      </c>
      <c r="K422">
        <v>13</v>
      </c>
      <c r="L422" s="31" t="s">
        <v>19</v>
      </c>
      <c r="M422" s="31" t="s">
        <v>26</v>
      </c>
      <c r="N422">
        <v>24</v>
      </c>
      <c r="O422" s="31" t="s">
        <v>42</v>
      </c>
    </row>
    <row r="423" spans="1:15" x14ac:dyDescent="0.25">
      <c r="A423" s="31" t="s">
        <v>460</v>
      </c>
      <c r="B423">
        <v>40</v>
      </c>
      <c r="C423" s="31" t="s">
        <v>28</v>
      </c>
      <c r="D423" s="31" t="s">
        <v>49</v>
      </c>
      <c r="E423" s="31" t="s">
        <v>25</v>
      </c>
      <c r="F423">
        <v>35271</v>
      </c>
      <c r="G423">
        <v>2</v>
      </c>
      <c r="H423">
        <v>2</v>
      </c>
      <c r="I423">
        <v>5</v>
      </c>
      <c r="J423" s="31" t="s">
        <v>19</v>
      </c>
      <c r="K423">
        <v>4</v>
      </c>
      <c r="L423" s="31" t="s">
        <v>20</v>
      </c>
      <c r="M423" s="31" t="s">
        <v>26</v>
      </c>
      <c r="N423">
        <v>72</v>
      </c>
      <c r="O423" s="31" t="s">
        <v>44</v>
      </c>
    </row>
    <row r="424" spans="1:15" x14ac:dyDescent="0.25">
      <c r="A424" s="31" t="s">
        <v>461</v>
      </c>
      <c r="B424">
        <v>48</v>
      </c>
      <c r="C424" s="31" t="s">
        <v>16</v>
      </c>
      <c r="D424" s="31" t="s">
        <v>17</v>
      </c>
      <c r="E424" s="31" t="s">
        <v>25</v>
      </c>
      <c r="F424">
        <v>38715</v>
      </c>
      <c r="G424">
        <v>3</v>
      </c>
      <c r="H424">
        <v>1</v>
      </c>
      <c r="I424">
        <v>5</v>
      </c>
      <c r="J424" s="31" t="s">
        <v>19</v>
      </c>
      <c r="K424">
        <v>5</v>
      </c>
      <c r="L424" s="31" t="s">
        <v>20</v>
      </c>
      <c r="M424" s="31" t="s">
        <v>21</v>
      </c>
      <c r="N424">
        <v>8</v>
      </c>
      <c r="O424" s="31" t="s">
        <v>36</v>
      </c>
    </row>
    <row r="425" spans="1:15" x14ac:dyDescent="0.25">
      <c r="A425" s="31" t="s">
        <v>462</v>
      </c>
      <c r="B425">
        <v>47</v>
      </c>
      <c r="C425" s="31" t="s">
        <v>28</v>
      </c>
      <c r="D425" s="31" t="s">
        <v>29</v>
      </c>
      <c r="E425" s="31" t="s">
        <v>33</v>
      </c>
      <c r="F425">
        <v>115728</v>
      </c>
      <c r="G425">
        <v>3</v>
      </c>
      <c r="H425">
        <v>2</v>
      </c>
      <c r="I425">
        <v>2</v>
      </c>
      <c r="J425" s="31" t="s">
        <v>19</v>
      </c>
      <c r="K425">
        <v>4</v>
      </c>
      <c r="L425" s="31" t="s">
        <v>19</v>
      </c>
      <c r="M425" s="31" t="s">
        <v>21</v>
      </c>
      <c r="N425">
        <v>39</v>
      </c>
      <c r="O425" s="31" t="s">
        <v>31</v>
      </c>
    </row>
    <row r="426" spans="1:15" x14ac:dyDescent="0.25">
      <c r="A426" s="31" t="s">
        <v>463</v>
      </c>
      <c r="B426">
        <v>57</v>
      </c>
      <c r="C426" s="31" t="s">
        <v>16</v>
      </c>
      <c r="D426" s="31" t="s">
        <v>24</v>
      </c>
      <c r="E426" s="31" t="s">
        <v>41</v>
      </c>
      <c r="F426">
        <v>48266</v>
      </c>
      <c r="G426">
        <v>1</v>
      </c>
      <c r="H426">
        <v>3</v>
      </c>
      <c r="I426">
        <v>1</v>
      </c>
      <c r="J426" s="31" t="s">
        <v>20</v>
      </c>
      <c r="K426">
        <v>4</v>
      </c>
      <c r="L426" s="31" t="s">
        <v>20</v>
      </c>
      <c r="M426" s="31" t="s">
        <v>26</v>
      </c>
      <c r="N426">
        <v>52</v>
      </c>
      <c r="O426" s="31" t="s">
        <v>44</v>
      </c>
    </row>
    <row r="427" spans="1:15" x14ac:dyDescent="0.25">
      <c r="A427" s="31" t="s">
        <v>464</v>
      </c>
      <c r="B427">
        <v>45</v>
      </c>
      <c r="C427" s="31" t="s">
        <v>28</v>
      </c>
      <c r="D427" s="31" t="s">
        <v>49</v>
      </c>
      <c r="E427" s="31" t="s">
        <v>41</v>
      </c>
      <c r="F427">
        <v>39467</v>
      </c>
      <c r="G427">
        <v>2</v>
      </c>
      <c r="H427">
        <v>2</v>
      </c>
      <c r="I427">
        <v>1</v>
      </c>
      <c r="J427" s="31" t="s">
        <v>20</v>
      </c>
      <c r="K427">
        <v>0</v>
      </c>
      <c r="L427" s="31" t="s">
        <v>20</v>
      </c>
      <c r="M427" s="31" t="s">
        <v>30</v>
      </c>
      <c r="N427">
        <v>33</v>
      </c>
      <c r="O427" s="31" t="s">
        <v>44</v>
      </c>
    </row>
    <row r="428" spans="1:15" x14ac:dyDescent="0.25">
      <c r="A428" s="31" t="s">
        <v>465</v>
      </c>
      <c r="B428">
        <v>34</v>
      </c>
      <c r="C428" s="31" t="s">
        <v>16</v>
      </c>
      <c r="D428" s="31" t="s">
        <v>51</v>
      </c>
      <c r="E428" s="31" t="s">
        <v>33</v>
      </c>
      <c r="F428">
        <v>98879</v>
      </c>
      <c r="G428">
        <v>4</v>
      </c>
      <c r="H428">
        <v>3</v>
      </c>
      <c r="I428">
        <v>4</v>
      </c>
      <c r="J428" s="31" t="s">
        <v>19</v>
      </c>
      <c r="K428">
        <v>13</v>
      </c>
      <c r="L428" s="31" t="s">
        <v>20</v>
      </c>
      <c r="M428" s="31" t="s">
        <v>21</v>
      </c>
      <c r="N428">
        <v>53</v>
      </c>
      <c r="O428" s="31" t="s">
        <v>36</v>
      </c>
    </row>
    <row r="429" spans="1:15" x14ac:dyDescent="0.25">
      <c r="A429" s="31" t="s">
        <v>466</v>
      </c>
      <c r="B429">
        <v>46</v>
      </c>
      <c r="C429" s="31" t="s">
        <v>16</v>
      </c>
      <c r="D429" s="31" t="s">
        <v>24</v>
      </c>
      <c r="E429" s="31" t="s">
        <v>35</v>
      </c>
      <c r="F429">
        <v>77193</v>
      </c>
      <c r="G429">
        <v>4</v>
      </c>
      <c r="H429">
        <v>1</v>
      </c>
      <c r="I429">
        <v>2</v>
      </c>
      <c r="J429" s="31" t="s">
        <v>20</v>
      </c>
      <c r="K429">
        <v>1</v>
      </c>
      <c r="L429" s="31" t="s">
        <v>20</v>
      </c>
      <c r="M429" s="31" t="s">
        <v>26</v>
      </c>
      <c r="N429">
        <v>11</v>
      </c>
      <c r="O429" s="31" t="s">
        <v>44</v>
      </c>
    </row>
    <row r="430" spans="1:15" x14ac:dyDescent="0.25">
      <c r="A430" s="31" t="s">
        <v>467</v>
      </c>
      <c r="B430">
        <v>39</v>
      </c>
      <c r="C430" s="31" t="s">
        <v>28</v>
      </c>
      <c r="D430" s="31" t="s">
        <v>49</v>
      </c>
      <c r="E430" s="31" t="s">
        <v>18</v>
      </c>
      <c r="F430">
        <v>119407</v>
      </c>
      <c r="G430">
        <v>3</v>
      </c>
      <c r="H430">
        <v>4</v>
      </c>
      <c r="I430">
        <v>3</v>
      </c>
      <c r="J430" s="31" t="s">
        <v>20</v>
      </c>
      <c r="K430">
        <v>9</v>
      </c>
      <c r="L430" s="31" t="s">
        <v>19</v>
      </c>
      <c r="M430" s="31" t="s">
        <v>26</v>
      </c>
      <c r="N430">
        <v>71</v>
      </c>
      <c r="O430" s="31" t="s">
        <v>44</v>
      </c>
    </row>
    <row r="431" spans="1:15" x14ac:dyDescent="0.25">
      <c r="A431" s="31" t="s">
        <v>468</v>
      </c>
      <c r="B431">
        <v>50</v>
      </c>
      <c r="C431" s="31" t="s">
        <v>28</v>
      </c>
      <c r="D431" s="31" t="s">
        <v>40</v>
      </c>
      <c r="E431" s="31" t="s">
        <v>38</v>
      </c>
      <c r="F431">
        <v>83622</v>
      </c>
      <c r="G431">
        <v>1</v>
      </c>
      <c r="H431">
        <v>2</v>
      </c>
      <c r="I431">
        <v>5</v>
      </c>
      <c r="J431" s="31" t="s">
        <v>19</v>
      </c>
      <c r="K431">
        <v>12</v>
      </c>
      <c r="L431" s="31" t="s">
        <v>20</v>
      </c>
      <c r="M431" s="31" t="s">
        <v>30</v>
      </c>
      <c r="N431">
        <v>62</v>
      </c>
      <c r="O431" s="31" t="s">
        <v>22</v>
      </c>
    </row>
    <row r="432" spans="1:15" x14ac:dyDescent="0.25">
      <c r="A432" s="31" t="s">
        <v>469</v>
      </c>
      <c r="B432">
        <v>32</v>
      </c>
      <c r="C432" s="31" t="s">
        <v>28</v>
      </c>
      <c r="D432" s="31" t="s">
        <v>24</v>
      </c>
      <c r="E432" s="31" t="s">
        <v>38</v>
      </c>
      <c r="F432">
        <v>44467</v>
      </c>
      <c r="G432">
        <v>4</v>
      </c>
      <c r="H432">
        <v>1</v>
      </c>
      <c r="I432">
        <v>3</v>
      </c>
      <c r="J432" s="31" t="s">
        <v>20</v>
      </c>
      <c r="K432">
        <v>20</v>
      </c>
      <c r="L432" s="31" t="s">
        <v>19</v>
      </c>
      <c r="M432" s="31" t="s">
        <v>26</v>
      </c>
      <c r="N432">
        <v>20</v>
      </c>
      <c r="O432" s="31" t="s">
        <v>22</v>
      </c>
    </row>
    <row r="433" spans="1:15" x14ac:dyDescent="0.25">
      <c r="A433" s="31" t="s">
        <v>470</v>
      </c>
      <c r="B433">
        <v>28</v>
      </c>
      <c r="C433" s="31" t="s">
        <v>28</v>
      </c>
      <c r="D433" s="31" t="s">
        <v>17</v>
      </c>
      <c r="E433" s="31" t="s">
        <v>18</v>
      </c>
      <c r="F433">
        <v>29181</v>
      </c>
      <c r="G433">
        <v>5</v>
      </c>
      <c r="H433">
        <v>4</v>
      </c>
      <c r="I433">
        <v>5</v>
      </c>
      <c r="J433" s="31" t="s">
        <v>19</v>
      </c>
      <c r="K433">
        <v>12</v>
      </c>
      <c r="L433" s="31" t="s">
        <v>20</v>
      </c>
      <c r="M433" s="31" t="s">
        <v>21</v>
      </c>
      <c r="N433">
        <v>26</v>
      </c>
      <c r="O433" s="31" t="s">
        <v>36</v>
      </c>
    </row>
    <row r="434" spans="1:15" x14ac:dyDescent="0.25">
      <c r="A434" s="31" t="s">
        <v>471</v>
      </c>
      <c r="B434">
        <v>57</v>
      </c>
      <c r="C434" s="31" t="s">
        <v>16</v>
      </c>
      <c r="D434" s="31" t="s">
        <v>51</v>
      </c>
      <c r="E434" s="31" t="s">
        <v>41</v>
      </c>
      <c r="F434">
        <v>41444</v>
      </c>
      <c r="G434">
        <v>1</v>
      </c>
      <c r="H434">
        <v>4</v>
      </c>
      <c r="I434">
        <v>3</v>
      </c>
      <c r="J434" s="31" t="s">
        <v>20</v>
      </c>
      <c r="K434">
        <v>14</v>
      </c>
      <c r="L434" s="31" t="s">
        <v>20</v>
      </c>
      <c r="M434" s="31" t="s">
        <v>26</v>
      </c>
      <c r="N434">
        <v>28</v>
      </c>
      <c r="O434" s="31" t="s">
        <v>22</v>
      </c>
    </row>
    <row r="435" spans="1:15" x14ac:dyDescent="0.25">
      <c r="A435" s="31" t="s">
        <v>472</v>
      </c>
      <c r="B435">
        <v>29</v>
      </c>
      <c r="C435" s="31" t="s">
        <v>16</v>
      </c>
      <c r="D435" s="31" t="s">
        <v>40</v>
      </c>
      <c r="E435" s="31" t="s">
        <v>25</v>
      </c>
      <c r="F435">
        <v>118321</v>
      </c>
      <c r="G435">
        <v>3</v>
      </c>
      <c r="H435">
        <v>1</v>
      </c>
      <c r="I435">
        <v>4</v>
      </c>
      <c r="J435" s="31" t="s">
        <v>20</v>
      </c>
      <c r="K435">
        <v>15</v>
      </c>
      <c r="L435" s="31" t="s">
        <v>19</v>
      </c>
      <c r="M435" s="31" t="s">
        <v>26</v>
      </c>
      <c r="N435">
        <v>68</v>
      </c>
      <c r="O435" s="31" t="s">
        <v>44</v>
      </c>
    </row>
    <row r="436" spans="1:15" x14ac:dyDescent="0.25">
      <c r="A436" s="31" t="s">
        <v>473</v>
      </c>
      <c r="B436">
        <v>34</v>
      </c>
      <c r="C436" s="31" t="s">
        <v>28</v>
      </c>
      <c r="D436" s="31" t="s">
        <v>49</v>
      </c>
      <c r="E436" s="31" t="s">
        <v>33</v>
      </c>
      <c r="F436">
        <v>75917</v>
      </c>
      <c r="G436">
        <v>1</v>
      </c>
      <c r="H436">
        <v>5</v>
      </c>
      <c r="I436">
        <v>5</v>
      </c>
      <c r="J436" s="31" t="s">
        <v>19</v>
      </c>
      <c r="K436">
        <v>7</v>
      </c>
      <c r="L436" s="31" t="s">
        <v>20</v>
      </c>
      <c r="M436" s="31" t="s">
        <v>26</v>
      </c>
      <c r="N436">
        <v>76</v>
      </c>
      <c r="O436" s="31" t="s">
        <v>44</v>
      </c>
    </row>
    <row r="437" spans="1:15" x14ac:dyDescent="0.25">
      <c r="A437" s="31" t="s">
        <v>474</v>
      </c>
      <c r="B437">
        <v>24</v>
      </c>
      <c r="C437" s="31" t="s">
        <v>16</v>
      </c>
      <c r="D437" s="31" t="s">
        <v>51</v>
      </c>
      <c r="E437" s="31" t="s">
        <v>35</v>
      </c>
      <c r="F437">
        <v>103626</v>
      </c>
      <c r="G437">
        <v>3</v>
      </c>
      <c r="H437">
        <v>1</v>
      </c>
      <c r="I437">
        <v>2</v>
      </c>
      <c r="J437" s="31" t="s">
        <v>19</v>
      </c>
      <c r="K437">
        <v>18</v>
      </c>
      <c r="L437" s="31" t="s">
        <v>20</v>
      </c>
      <c r="M437" s="31" t="s">
        <v>30</v>
      </c>
      <c r="N437">
        <v>16</v>
      </c>
      <c r="O437" s="31" t="s">
        <v>22</v>
      </c>
    </row>
    <row r="438" spans="1:15" x14ac:dyDescent="0.25">
      <c r="A438" s="31" t="s">
        <v>475</v>
      </c>
      <c r="B438">
        <v>27</v>
      </c>
      <c r="C438" s="31" t="s">
        <v>28</v>
      </c>
      <c r="D438" s="31" t="s">
        <v>51</v>
      </c>
      <c r="E438" s="31" t="s">
        <v>41</v>
      </c>
      <c r="F438">
        <v>106092</v>
      </c>
      <c r="G438">
        <v>3</v>
      </c>
      <c r="H438">
        <v>5</v>
      </c>
      <c r="I438">
        <v>5</v>
      </c>
      <c r="J438" s="31" t="s">
        <v>19</v>
      </c>
      <c r="K438">
        <v>14</v>
      </c>
      <c r="L438" s="31" t="s">
        <v>20</v>
      </c>
      <c r="M438" s="31" t="s">
        <v>21</v>
      </c>
      <c r="N438">
        <v>16</v>
      </c>
      <c r="O438" s="31" t="s">
        <v>36</v>
      </c>
    </row>
    <row r="439" spans="1:15" x14ac:dyDescent="0.25">
      <c r="A439" s="31" t="s">
        <v>476</v>
      </c>
      <c r="B439">
        <v>39</v>
      </c>
      <c r="C439" s="31" t="s">
        <v>28</v>
      </c>
      <c r="D439" s="31" t="s">
        <v>49</v>
      </c>
      <c r="E439" s="31" t="s">
        <v>35</v>
      </c>
      <c r="F439">
        <v>117410</v>
      </c>
      <c r="G439">
        <v>4</v>
      </c>
      <c r="H439">
        <v>5</v>
      </c>
      <c r="I439">
        <v>1</v>
      </c>
      <c r="J439" s="31" t="s">
        <v>20</v>
      </c>
      <c r="K439">
        <v>15</v>
      </c>
      <c r="L439" s="31" t="s">
        <v>19</v>
      </c>
      <c r="M439" s="31" t="s">
        <v>21</v>
      </c>
      <c r="N439">
        <v>40</v>
      </c>
      <c r="O439" s="31" t="s">
        <v>36</v>
      </c>
    </row>
    <row r="440" spans="1:15" x14ac:dyDescent="0.25">
      <c r="A440" s="31" t="s">
        <v>477</v>
      </c>
      <c r="B440">
        <v>39</v>
      </c>
      <c r="C440" s="31" t="s">
        <v>28</v>
      </c>
      <c r="D440" s="31" t="s">
        <v>24</v>
      </c>
      <c r="E440" s="31" t="s">
        <v>41</v>
      </c>
      <c r="F440">
        <v>109203</v>
      </c>
      <c r="G440">
        <v>2</v>
      </c>
      <c r="H440">
        <v>5</v>
      </c>
      <c r="I440">
        <v>1</v>
      </c>
      <c r="J440" s="31" t="s">
        <v>19</v>
      </c>
      <c r="K440">
        <v>18</v>
      </c>
      <c r="L440" s="31" t="s">
        <v>19</v>
      </c>
      <c r="M440" s="31" t="s">
        <v>30</v>
      </c>
      <c r="N440">
        <v>41</v>
      </c>
      <c r="O440" s="31" t="s">
        <v>42</v>
      </c>
    </row>
    <row r="441" spans="1:15" x14ac:dyDescent="0.25">
      <c r="A441" s="31" t="s">
        <v>478</v>
      </c>
      <c r="B441">
        <v>41</v>
      </c>
      <c r="C441" s="31" t="s">
        <v>28</v>
      </c>
      <c r="D441" s="31" t="s">
        <v>24</v>
      </c>
      <c r="E441" s="31" t="s">
        <v>25</v>
      </c>
      <c r="F441">
        <v>99689</v>
      </c>
      <c r="G441">
        <v>3</v>
      </c>
      <c r="H441">
        <v>2</v>
      </c>
      <c r="I441">
        <v>5</v>
      </c>
      <c r="J441" s="31" t="s">
        <v>20</v>
      </c>
      <c r="K441">
        <v>16</v>
      </c>
      <c r="L441" s="31" t="s">
        <v>20</v>
      </c>
      <c r="M441" s="31" t="s">
        <v>30</v>
      </c>
      <c r="N441">
        <v>28</v>
      </c>
      <c r="O441" s="31" t="s">
        <v>31</v>
      </c>
    </row>
    <row r="442" spans="1:15" x14ac:dyDescent="0.25">
      <c r="A442" s="31" t="s">
        <v>479</v>
      </c>
      <c r="B442">
        <v>35</v>
      </c>
      <c r="C442" s="31" t="s">
        <v>28</v>
      </c>
      <c r="D442" s="31" t="s">
        <v>51</v>
      </c>
      <c r="E442" s="31" t="s">
        <v>35</v>
      </c>
      <c r="F442">
        <v>33493</v>
      </c>
      <c r="G442">
        <v>1</v>
      </c>
      <c r="H442">
        <v>4</v>
      </c>
      <c r="I442">
        <v>1</v>
      </c>
      <c r="J442" s="31" t="s">
        <v>19</v>
      </c>
      <c r="K442">
        <v>19</v>
      </c>
      <c r="L442" s="31" t="s">
        <v>20</v>
      </c>
      <c r="M442" s="31" t="s">
        <v>30</v>
      </c>
      <c r="N442">
        <v>10</v>
      </c>
      <c r="O442" s="31" t="s">
        <v>36</v>
      </c>
    </row>
    <row r="443" spans="1:15" x14ac:dyDescent="0.25">
      <c r="A443" s="31" t="s">
        <v>480</v>
      </c>
      <c r="B443">
        <v>39</v>
      </c>
      <c r="C443" s="31" t="s">
        <v>16</v>
      </c>
      <c r="D443" s="31" t="s">
        <v>40</v>
      </c>
      <c r="E443" s="31" t="s">
        <v>38</v>
      </c>
      <c r="F443">
        <v>44370</v>
      </c>
      <c r="G443">
        <v>3</v>
      </c>
      <c r="H443">
        <v>3</v>
      </c>
      <c r="I443">
        <v>1</v>
      </c>
      <c r="J443" s="31" t="s">
        <v>20</v>
      </c>
      <c r="K443">
        <v>9</v>
      </c>
      <c r="L443" s="31" t="s">
        <v>20</v>
      </c>
      <c r="M443" s="31" t="s">
        <v>21</v>
      </c>
      <c r="N443">
        <v>19</v>
      </c>
      <c r="O443" s="31" t="s">
        <v>36</v>
      </c>
    </row>
    <row r="444" spans="1:15" x14ac:dyDescent="0.25">
      <c r="A444" s="31" t="s">
        <v>481</v>
      </c>
      <c r="B444">
        <v>42</v>
      </c>
      <c r="C444" s="31" t="s">
        <v>28</v>
      </c>
      <c r="D444" s="31" t="s">
        <v>17</v>
      </c>
      <c r="E444" s="31" t="s">
        <v>25</v>
      </c>
      <c r="F444">
        <v>98739</v>
      </c>
      <c r="G444">
        <v>1</v>
      </c>
      <c r="H444">
        <v>2</v>
      </c>
      <c r="I444">
        <v>2</v>
      </c>
      <c r="J444" s="31" t="s">
        <v>20</v>
      </c>
      <c r="K444">
        <v>10</v>
      </c>
      <c r="L444" s="31" t="s">
        <v>20</v>
      </c>
      <c r="M444" s="31" t="s">
        <v>30</v>
      </c>
      <c r="N444">
        <v>9</v>
      </c>
      <c r="O444" s="31" t="s">
        <v>44</v>
      </c>
    </row>
    <row r="445" spans="1:15" x14ac:dyDescent="0.25">
      <c r="A445" s="31" t="s">
        <v>482</v>
      </c>
      <c r="B445">
        <v>51</v>
      </c>
      <c r="C445" s="31" t="s">
        <v>16</v>
      </c>
      <c r="D445" s="31" t="s">
        <v>17</v>
      </c>
      <c r="E445" s="31" t="s">
        <v>33</v>
      </c>
      <c r="F445">
        <v>88381</v>
      </c>
      <c r="G445">
        <v>3</v>
      </c>
      <c r="H445">
        <v>4</v>
      </c>
      <c r="I445">
        <v>4</v>
      </c>
      <c r="J445" s="31" t="s">
        <v>19</v>
      </c>
      <c r="K445">
        <v>16</v>
      </c>
      <c r="L445" s="31" t="s">
        <v>20</v>
      </c>
      <c r="M445" s="31" t="s">
        <v>26</v>
      </c>
      <c r="N445">
        <v>45</v>
      </c>
      <c r="O445" s="31" t="s">
        <v>31</v>
      </c>
    </row>
    <row r="446" spans="1:15" x14ac:dyDescent="0.25">
      <c r="A446" s="31" t="s">
        <v>483</v>
      </c>
      <c r="B446">
        <v>55</v>
      </c>
      <c r="C446" s="31" t="s">
        <v>16</v>
      </c>
      <c r="D446" s="31" t="s">
        <v>51</v>
      </c>
      <c r="E446" s="31" t="s">
        <v>25</v>
      </c>
      <c r="F446">
        <v>107848</v>
      </c>
      <c r="G446">
        <v>3</v>
      </c>
      <c r="H446">
        <v>3</v>
      </c>
      <c r="I446">
        <v>1</v>
      </c>
      <c r="J446" s="31" t="s">
        <v>19</v>
      </c>
      <c r="K446">
        <v>8</v>
      </c>
      <c r="L446" s="31" t="s">
        <v>19</v>
      </c>
      <c r="M446" s="31" t="s">
        <v>30</v>
      </c>
      <c r="N446">
        <v>53</v>
      </c>
      <c r="O446" s="31" t="s">
        <v>31</v>
      </c>
    </row>
    <row r="447" spans="1:15" x14ac:dyDescent="0.25">
      <c r="A447" s="31" t="s">
        <v>484</v>
      </c>
      <c r="B447">
        <v>31</v>
      </c>
      <c r="C447" s="31" t="s">
        <v>28</v>
      </c>
      <c r="D447" s="31" t="s">
        <v>51</v>
      </c>
      <c r="E447" s="31" t="s">
        <v>25</v>
      </c>
      <c r="F447">
        <v>33315</v>
      </c>
      <c r="G447">
        <v>3</v>
      </c>
      <c r="H447">
        <v>3</v>
      </c>
      <c r="I447">
        <v>1</v>
      </c>
      <c r="J447" s="31" t="s">
        <v>20</v>
      </c>
      <c r="K447">
        <v>13</v>
      </c>
      <c r="L447" s="31" t="s">
        <v>19</v>
      </c>
      <c r="M447" s="31" t="s">
        <v>30</v>
      </c>
      <c r="N447">
        <v>35</v>
      </c>
      <c r="O447" s="31" t="s">
        <v>36</v>
      </c>
    </row>
    <row r="448" spans="1:15" x14ac:dyDescent="0.25">
      <c r="A448" s="31" t="s">
        <v>485</v>
      </c>
      <c r="B448">
        <v>49</v>
      </c>
      <c r="C448" s="31" t="s">
        <v>28</v>
      </c>
      <c r="D448" s="31" t="s">
        <v>51</v>
      </c>
      <c r="E448" s="31" t="s">
        <v>25</v>
      </c>
      <c r="F448">
        <v>57625</v>
      </c>
      <c r="G448">
        <v>2</v>
      </c>
      <c r="H448">
        <v>1</v>
      </c>
      <c r="I448">
        <v>3</v>
      </c>
      <c r="J448" s="31" t="s">
        <v>19</v>
      </c>
      <c r="K448">
        <v>6</v>
      </c>
      <c r="L448" s="31" t="s">
        <v>19</v>
      </c>
      <c r="M448" s="31" t="s">
        <v>30</v>
      </c>
      <c r="N448">
        <v>69</v>
      </c>
      <c r="O448" s="31" t="s">
        <v>22</v>
      </c>
    </row>
    <row r="449" spans="1:15" x14ac:dyDescent="0.25">
      <c r="A449" s="31" t="s">
        <v>486</v>
      </c>
      <c r="B449">
        <v>51</v>
      </c>
      <c r="C449" s="31" t="s">
        <v>16</v>
      </c>
      <c r="D449" s="31" t="s">
        <v>51</v>
      </c>
      <c r="E449" s="31" t="s">
        <v>18</v>
      </c>
      <c r="F449">
        <v>81369</v>
      </c>
      <c r="G449">
        <v>5</v>
      </c>
      <c r="H449">
        <v>3</v>
      </c>
      <c r="I449">
        <v>3</v>
      </c>
      <c r="J449" s="31" t="s">
        <v>19</v>
      </c>
      <c r="K449">
        <v>3</v>
      </c>
      <c r="L449" s="31" t="s">
        <v>19</v>
      </c>
      <c r="M449" s="31" t="s">
        <v>21</v>
      </c>
      <c r="N449">
        <v>9</v>
      </c>
      <c r="O449" s="31" t="s">
        <v>42</v>
      </c>
    </row>
    <row r="450" spans="1:15" x14ac:dyDescent="0.25">
      <c r="A450" s="31" t="s">
        <v>487</v>
      </c>
      <c r="B450">
        <v>45</v>
      </c>
      <c r="C450" s="31" t="s">
        <v>16</v>
      </c>
      <c r="D450" s="31" t="s">
        <v>40</v>
      </c>
      <c r="E450" s="31" t="s">
        <v>18</v>
      </c>
      <c r="F450">
        <v>23771</v>
      </c>
      <c r="G450">
        <v>5</v>
      </c>
      <c r="H450">
        <v>1</v>
      </c>
      <c r="I450">
        <v>3</v>
      </c>
      <c r="J450" s="31" t="s">
        <v>20</v>
      </c>
      <c r="K450">
        <v>1</v>
      </c>
      <c r="L450" s="31" t="s">
        <v>19</v>
      </c>
      <c r="M450" s="31" t="s">
        <v>26</v>
      </c>
      <c r="N450">
        <v>44</v>
      </c>
      <c r="O450" s="31" t="s">
        <v>22</v>
      </c>
    </row>
    <row r="451" spans="1:15" x14ac:dyDescent="0.25">
      <c r="A451" s="31" t="s">
        <v>488</v>
      </c>
      <c r="B451">
        <v>57</v>
      </c>
      <c r="C451" s="31" t="s">
        <v>28</v>
      </c>
      <c r="D451" s="31" t="s">
        <v>17</v>
      </c>
      <c r="E451" s="31" t="s">
        <v>41</v>
      </c>
      <c r="F451">
        <v>60058</v>
      </c>
      <c r="G451">
        <v>2</v>
      </c>
      <c r="H451">
        <v>2</v>
      </c>
      <c r="I451">
        <v>3</v>
      </c>
      <c r="J451" s="31" t="s">
        <v>20</v>
      </c>
      <c r="K451">
        <v>17</v>
      </c>
      <c r="L451" s="31" t="s">
        <v>20</v>
      </c>
      <c r="M451" s="31" t="s">
        <v>30</v>
      </c>
      <c r="N451">
        <v>20</v>
      </c>
      <c r="O451" s="31" t="s">
        <v>36</v>
      </c>
    </row>
    <row r="452" spans="1:15" x14ac:dyDescent="0.25">
      <c r="A452" s="31" t="s">
        <v>489</v>
      </c>
      <c r="B452">
        <v>30</v>
      </c>
      <c r="C452" s="31" t="s">
        <v>16</v>
      </c>
      <c r="D452" s="31" t="s">
        <v>29</v>
      </c>
      <c r="E452" s="31" t="s">
        <v>35</v>
      </c>
      <c r="F452">
        <v>19999</v>
      </c>
      <c r="G452">
        <v>5</v>
      </c>
      <c r="H452">
        <v>5</v>
      </c>
      <c r="I452">
        <v>5</v>
      </c>
      <c r="J452" s="31" t="s">
        <v>19</v>
      </c>
      <c r="K452">
        <v>6</v>
      </c>
      <c r="L452" s="31" t="s">
        <v>20</v>
      </c>
      <c r="M452" s="31" t="s">
        <v>26</v>
      </c>
      <c r="N452">
        <v>45</v>
      </c>
      <c r="O452" s="31" t="s">
        <v>36</v>
      </c>
    </row>
    <row r="453" spans="1:15" x14ac:dyDescent="0.25">
      <c r="A453" s="31" t="s">
        <v>490</v>
      </c>
      <c r="B453">
        <v>30</v>
      </c>
      <c r="C453" s="31" t="s">
        <v>28</v>
      </c>
      <c r="D453" s="31" t="s">
        <v>24</v>
      </c>
      <c r="E453" s="31" t="s">
        <v>41</v>
      </c>
      <c r="F453">
        <v>40449</v>
      </c>
      <c r="G453">
        <v>1</v>
      </c>
      <c r="H453">
        <v>3</v>
      </c>
      <c r="I453">
        <v>5</v>
      </c>
      <c r="J453" s="31" t="s">
        <v>20</v>
      </c>
      <c r="K453">
        <v>17</v>
      </c>
      <c r="L453" s="31" t="s">
        <v>20</v>
      </c>
      <c r="M453" s="31" t="s">
        <v>21</v>
      </c>
      <c r="N453">
        <v>21</v>
      </c>
      <c r="O453" s="31" t="s">
        <v>22</v>
      </c>
    </row>
    <row r="454" spans="1:15" x14ac:dyDescent="0.25">
      <c r="A454" s="31" t="s">
        <v>491</v>
      </c>
      <c r="B454">
        <v>51</v>
      </c>
      <c r="C454" s="31" t="s">
        <v>16</v>
      </c>
      <c r="D454" s="31" t="s">
        <v>40</v>
      </c>
      <c r="E454" s="31" t="s">
        <v>33</v>
      </c>
      <c r="F454">
        <v>25051</v>
      </c>
      <c r="G454">
        <v>1</v>
      </c>
      <c r="H454">
        <v>4</v>
      </c>
      <c r="I454">
        <v>4</v>
      </c>
      <c r="J454" s="31" t="s">
        <v>19</v>
      </c>
      <c r="K454">
        <v>19</v>
      </c>
      <c r="L454" s="31" t="s">
        <v>20</v>
      </c>
      <c r="M454" s="31" t="s">
        <v>26</v>
      </c>
      <c r="N454">
        <v>50</v>
      </c>
      <c r="O454" s="31" t="s">
        <v>36</v>
      </c>
    </row>
    <row r="455" spans="1:15" x14ac:dyDescent="0.25">
      <c r="A455" s="31" t="s">
        <v>492</v>
      </c>
      <c r="B455">
        <v>42</v>
      </c>
      <c r="C455" s="31" t="s">
        <v>16</v>
      </c>
      <c r="D455" s="31" t="s">
        <v>17</v>
      </c>
      <c r="E455" s="31" t="s">
        <v>38</v>
      </c>
      <c r="F455">
        <v>87924</v>
      </c>
      <c r="G455">
        <v>3</v>
      </c>
      <c r="H455">
        <v>4</v>
      </c>
      <c r="I455">
        <v>5</v>
      </c>
      <c r="J455" s="31" t="s">
        <v>19</v>
      </c>
      <c r="K455">
        <v>2</v>
      </c>
      <c r="L455" s="31" t="s">
        <v>20</v>
      </c>
      <c r="M455" s="31" t="s">
        <v>21</v>
      </c>
      <c r="N455">
        <v>63</v>
      </c>
      <c r="O455" s="31" t="s">
        <v>36</v>
      </c>
    </row>
    <row r="456" spans="1:15" x14ac:dyDescent="0.25">
      <c r="A456" s="31" t="s">
        <v>493</v>
      </c>
      <c r="B456">
        <v>50</v>
      </c>
      <c r="C456" s="31" t="s">
        <v>28</v>
      </c>
      <c r="D456" s="31" t="s">
        <v>51</v>
      </c>
      <c r="E456" s="31" t="s">
        <v>41</v>
      </c>
      <c r="F456">
        <v>36837</v>
      </c>
      <c r="G456">
        <v>5</v>
      </c>
      <c r="H456">
        <v>3</v>
      </c>
      <c r="I456">
        <v>3</v>
      </c>
      <c r="J456" s="31" t="s">
        <v>20</v>
      </c>
      <c r="K456">
        <v>5</v>
      </c>
      <c r="L456" s="31" t="s">
        <v>20</v>
      </c>
      <c r="M456" s="31" t="s">
        <v>30</v>
      </c>
      <c r="N456">
        <v>63</v>
      </c>
      <c r="O456" s="31" t="s">
        <v>42</v>
      </c>
    </row>
    <row r="457" spans="1:15" x14ac:dyDescent="0.25">
      <c r="A457" s="31" t="s">
        <v>494</v>
      </c>
      <c r="B457">
        <v>22</v>
      </c>
      <c r="C457" s="31" t="s">
        <v>16</v>
      </c>
      <c r="D457" s="31" t="s">
        <v>49</v>
      </c>
      <c r="E457" s="31" t="s">
        <v>35</v>
      </c>
      <c r="F457">
        <v>68925</v>
      </c>
      <c r="G457">
        <v>4</v>
      </c>
      <c r="H457">
        <v>4</v>
      </c>
      <c r="I457">
        <v>2</v>
      </c>
      <c r="J457" s="31" t="s">
        <v>20</v>
      </c>
      <c r="K457">
        <v>11</v>
      </c>
      <c r="L457" s="31" t="s">
        <v>19</v>
      </c>
      <c r="M457" s="31" t="s">
        <v>26</v>
      </c>
      <c r="N457">
        <v>18</v>
      </c>
      <c r="O457" s="31" t="s">
        <v>42</v>
      </c>
    </row>
    <row r="458" spans="1:15" x14ac:dyDescent="0.25">
      <c r="A458" s="31" t="s">
        <v>495</v>
      </c>
      <c r="B458">
        <v>27</v>
      </c>
      <c r="C458" s="31" t="s">
        <v>28</v>
      </c>
      <c r="D458" s="31" t="s">
        <v>24</v>
      </c>
      <c r="E458" s="31" t="s">
        <v>38</v>
      </c>
      <c r="F458">
        <v>27296</v>
      </c>
      <c r="G458">
        <v>3</v>
      </c>
      <c r="H458">
        <v>5</v>
      </c>
      <c r="I458">
        <v>3</v>
      </c>
      <c r="J458" s="31" t="s">
        <v>20</v>
      </c>
      <c r="K458">
        <v>18</v>
      </c>
      <c r="L458" s="31" t="s">
        <v>20</v>
      </c>
      <c r="M458" s="31" t="s">
        <v>21</v>
      </c>
      <c r="N458">
        <v>36</v>
      </c>
      <c r="O458" s="31" t="s">
        <v>31</v>
      </c>
    </row>
    <row r="459" spans="1:15" x14ac:dyDescent="0.25">
      <c r="A459" s="31" t="s">
        <v>496</v>
      </c>
      <c r="B459">
        <v>31</v>
      </c>
      <c r="C459" s="31" t="s">
        <v>28</v>
      </c>
      <c r="D459" s="31" t="s">
        <v>49</v>
      </c>
      <c r="E459" s="31" t="s">
        <v>569</v>
      </c>
      <c r="F459">
        <v>62658</v>
      </c>
      <c r="G459">
        <v>2</v>
      </c>
      <c r="H459">
        <v>5</v>
      </c>
      <c r="I459">
        <v>4</v>
      </c>
      <c r="J459" s="31" t="s">
        <v>20</v>
      </c>
      <c r="K459">
        <v>18</v>
      </c>
      <c r="L459" s="31" t="s">
        <v>20</v>
      </c>
      <c r="M459" s="31" t="s">
        <v>26</v>
      </c>
      <c r="N459">
        <v>35</v>
      </c>
      <c r="O459" s="31" t="s">
        <v>44</v>
      </c>
    </row>
    <row r="460" spans="1:15" x14ac:dyDescent="0.25">
      <c r="A460" s="31" t="s">
        <v>497</v>
      </c>
      <c r="B460">
        <v>25</v>
      </c>
      <c r="C460" s="31" t="s">
        <v>28</v>
      </c>
      <c r="D460" s="31" t="s">
        <v>40</v>
      </c>
      <c r="E460" s="31" t="s">
        <v>25</v>
      </c>
      <c r="F460">
        <v>96128</v>
      </c>
      <c r="G460">
        <v>4</v>
      </c>
      <c r="H460">
        <v>3</v>
      </c>
      <c r="I460">
        <v>5</v>
      </c>
      <c r="J460" s="31" t="s">
        <v>19</v>
      </c>
      <c r="K460">
        <v>14</v>
      </c>
      <c r="L460" s="31" t="s">
        <v>19</v>
      </c>
      <c r="M460" s="31" t="s">
        <v>30</v>
      </c>
      <c r="N460">
        <v>56</v>
      </c>
      <c r="O460" s="31" t="s">
        <v>22</v>
      </c>
    </row>
    <row r="461" spans="1:15" x14ac:dyDescent="0.25">
      <c r="A461" s="31" t="s">
        <v>498</v>
      </c>
      <c r="B461">
        <v>27</v>
      </c>
      <c r="C461" s="31" t="s">
        <v>28</v>
      </c>
      <c r="D461" s="31" t="s">
        <v>29</v>
      </c>
      <c r="E461" s="31" t="s">
        <v>33</v>
      </c>
      <c r="F461">
        <v>102540</v>
      </c>
      <c r="G461">
        <v>1</v>
      </c>
      <c r="H461">
        <v>3</v>
      </c>
      <c r="I461">
        <v>2</v>
      </c>
      <c r="J461" s="31" t="s">
        <v>19</v>
      </c>
      <c r="K461">
        <v>18</v>
      </c>
      <c r="L461" s="31" t="s">
        <v>19</v>
      </c>
      <c r="M461" s="31" t="s">
        <v>21</v>
      </c>
      <c r="N461">
        <v>24</v>
      </c>
      <c r="O461" s="31" t="s">
        <v>42</v>
      </c>
    </row>
    <row r="462" spans="1:15" x14ac:dyDescent="0.25">
      <c r="A462" s="31" t="s">
        <v>499</v>
      </c>
      <c r="B462">
        <v>55</v>
      </c>
      <c r="C462" s="31" t="s">
        <v>28</v>
      </c>
      <c r="D462" s="31" t="s">
        <v>49</v>
      </c>
      <c r="E462" s="31" t="s">
        <v>25</v>
      </c>
      <c r="F462">
        <v>93750</v>
      </c>
      <c r="G462">
        <v>4</v>
      </c>
      <c r="H462">
        <v>2</v>
      </c>
      <c r="I462">
        <v>2</v>
      </c>
      <c r="J462" s="31" t="s">
        <v>20</v>
      </c>
      <c r="K462">
        <v>9</v>
      </c>
      <c r="L462" s="31" t="s">
        <v>20</v>
      </c>
      <c r="M462" s="31" t="s">
        <v>30</v>
      </c>
      <c r="N462">
        <v>49</v>
      </c>
      <c r="O462" s="31" t="s">
        <v>22</v>
      </c>
    </row>
    <row r="463" spans="1:15" x14ac:dyDescent="0.25">
      <c r="A463" s="31" t="s">
        <v>500</v>
      </c>
      <c r="B463">
        <v>58</v>
      </c>
      <c r="C463" s="31" t="s">
        <v>16</v>
      </c>
      <c r="D463" s="31" t="s">
        <v>24</v>
      </c>
      <c r="E463" s="31" t="s">
        <v>25</v>
      </c>
      <c r="F463">
        <v>70978</v>
      </c>
      <c r="G463">
        <v>2</v>
      </c>
      <c r="H463">
        <v>3</v>
      </c>
      <c r="I463">
        <v>1</v>
      </c>
      <c r="J463" s="31" t="s">
        <v>20</v>
      </c>
      <c r="K463">
        <v>17</v>
      </c>
      <c r="L463" s="31" t="s">
        <v>19</v>
      </c>
      <c r="M463" s="31" t="s">
        <v>21</v>
      </c>
      <c r="N463">
        <v>76</v>
      </c>
      <c r="O463" s="31" t="s">
        <v>36</v>
      </c>
    </row>
    <row r="464" spans="1:15" x14ac:dyDescent="0.25">
      <c r="A464" s="31" t="s">
        <v>501</v>
      </c>
      <c r="B464">
        <v>28</v>
      </c>
      <c r="C464" s="31" t="s">
        <v>28</v>
      </c>
      <c r="D464" s="31" t="s">
        <v>40</v>
      </c>
      <c r="E464" s="31" t="s">
        <v>570</v>
      </c>
      <c r="F464">
        <v>74585</v>
      </c>
      <c r="G464">
        <v>5</v>
      </c>
      <c r="H464">
        <v>4</v>
      </c>
      <c r="I464">
        <v>3</v>
      </c>
      <c r="J464" s="31" t="s">
        <v>20</v>
      </c>
      <c r="K464">
        <v>12</v>
      </c>
      <c r="L464" s="31" t="s">
        <v>20</v>
      </c>
      <c r="M464" s="31" t="s">
        <v>30</v>
      </c>
      <c r="N464">
        <v>74</v>
      </c>
      <c r="O464" s="31" t="s">
        <v>44</v>
      </c>
    </row>
    <row r="465" spans="1:15" x14ac:dyDescent="0.25">
      <c r="A465" s="31" t="s">
        <v>502</v>
      </c>
      <c r="B465">
        <v>39</v>
      </c>
      <c r="C465" s="31" t="s">
        <v>28</v>
      </c>
      <c r="D465" s="31" t="s">
        <v>51</v>
      </c>
      <c r="E465" s="31" t="s">
        <v>41</v>
      </c>
      <c r="F465">
        <v>90800</v>
      </c>
      <c r="G465">
        <v>4</v>
      </c>
      <c r="H465">
        <v>3</v>
      </c>
      <c r="I465">
        <v>4</v>
      </c>
      <c r="J465" s="31" t="s">
        <v>19</v>
      </c>
      <c r="K465">
        <v>9</v>
      </c>
      <c r="L465" s="31" t="s">
        <v>19</v>
      </c>
      <c r="M465" s="31" t="s">
        <v>21</v>
      </c>
      <c r="N465">
        <v>6</v>
      </c>
      <c r="O465" s="31" t="s">
        <v>22</v>
      </c>
    </row>
    <row r="466" spans="1:15" x14ac:dyDescent="0.25">
      <c r="A466" s="31" t="s">
        <v>503</v>
      </c>
      <c r="B466">
        <v>22</v>
      </c>
      <c r="C466" s="31" t="s">
        <v>16</v>
      </c>
      <c r="D466" s="31" t="s">
        <v>17</v>
      </c>
      <c r="E466" s="31" t="s">
        <v>33</v>
      </c>
      <c r="F466">
        <v>104235</v>
      </c>
      <c r="G466">
        <v>4</v>
      </c>
      <c r="H466">
        <v>2</v>
      </c>
      <c r="I466">
        <v>1</v>
      </c>
      <c r="J466" s="31" t="s">
        <v>19</v>
      </c>
      <c r="K466">
        <v>20</v>
      </c>
      <c r="L466" s="31" t="s">
        <v>20</v>
      </c>
      <c r="M466" s="31" t="s">
        <v>30</v>
      </c>
      <c r="N466">
        <v>59</v>
      </c>
      <c r="O466" s="31" t="s">
        <v>31</v>
      </c>
    </row>
    <row r="467" spans="1:15" x14ac:dyDescent="0.25">
      <c r="A467" s="31" t="s">
        <v>504</v>
      </c>
      <c r="B467">
        <v>32</v>
      </c>
      <c r="C467" s="31" t="s">
        <v>28</v>
      </c>
      <c r="D467" s="31" t="s">
        <v>24</v>
      </c>
      <c r="E467" s="31" t="s">
        <v>33</v>
      </c>
      <c r="F467">
        <v>90358</v>
      </c>
      <c r="G467">
        <v>4</v>
      </c>
      <c r="H467">
        <v>4</v>
      </c>
      <c r="I467">
        <v>3</v>
      </c>
      <c r="J467" s="31" t="s">
        <v>19</v>
      </c>
      <c r="K467">
        <v>5</v>
      </c>
      <c r="L467" s="31" t="s">
        <v>20</v>
      </c>
      <c r="M467" s="31" t="s">
        <v>26</v>
      </c>
      <c r="N467">
        <v>5</v>
      </c>
      <c r="O467" s="31" t="s">
        <v>31</v>
      </c>
    </row>
    <row r="468" spans="1:15" x14ac:dyDescent="0.25">
      <c r="A468" s="31" t="s">
        <v>505</v>
      </c>
      <c r="B468">
        <v>52</v>
      </c>
      <c r="C468" s="31" t="s">
        <v>16</v>
      </c>
      <c r="D468" s="31" t="s">
        <v>17</v>
      </c>
      <c r="E468" s="31" t="s">
        <v>25</v>
      </c>
      <c r="F468">
        <v>53291</v>
      </c>
      <c r="G468">
        <v>4</v>
      </c>
      <c r="H468">
        <v>5</v>
      </c>
      <c r="I468">
        <v>5</v>
      </c>
      <c r="J468" s="31" t="s">
        <v>20</v>
      </c>
      <c r="K468">
        <v>1</v>
      </c>
      <c r="L468" s="31" t="s">
        <v>19</v>
      </c>
      <c r="M468" s="31" t="s">
        <v>26</v>
      </c>
      <c r="N468">
        <v>66</v>
      </c>
      <c r="O468" s="31" t="s">
        <v>36</v>
      </c>
    </row>
    <row r="469" spans="1:15" x14ac:dyDescent="0.25">
      <c r="A469" s="31" t="s">
        <v>506</v>
      </c>
      <c r="B469">
        <v>28</v>
      </c>
      <c r="C469" s="31" t="s">
        <v>28</v>
      </c>
      <c r="D469" s="31" t="s">
        <v>17</v>
      </c>
      <c r="E469" s="31" t="s">
        <v>35</v>
      </c>
      <c r="F469">
        <v>36623</v>
      </c>
      <c r="G469">
        <v>5</v>
      </c>
      <c r="H469">
        <v>3</v>
      </c>
      <c r="I469">
        <v>3</v>
      </c>
      <c r="J469" s="31" t="s">
        <v>19</v>
      </c>
      <c r="K469">
        <v>16</v>
      </c>
      <c r="L469" s="31" t="s">
        <v>19</v>
      </c>
      <c r="M469" s="31" t="s">
        <v>21</v>
      </c>
      <c r="N469">
        <v>65</v>
      </c>
      <c r="O469" s="31" t="s">
        <v>22</v>
      </c>
    </row>
    <row r="470" spans="1:15" x14ac:dyDescent="0.25">
      <c r="A470" s="31" t="s">
        <v>507</v>
      </c>
      <c r="B470">
        <v>55</v>
      </c>
      <c r="C470" s="31" t="s">
        <v>28</v>
      </c>
      <c r="D470" s="31" t="s">
        <v>24</v>
      </c>
      <c r="E470" s="31" t="s">
        <v>35</v>
      </c>
      <c r="F470">
        <v>63029</v>
      </c>
      <c r="G470">
        <v>5</v>
      </c>
      <c r="H470">
        <v>1</v>
      </c>
      <c r="I470">
        <v>4</v>
      </c>
      <c r="J470" s="31" t="s">
        <v>20</v>
      </c>
      <c r="K470">
        <v>16</v>
      </c>
      <c r="L470" s="31" t="s">
        <v>20</v>
      </c>
      <c r="M470" s="31" t="s">
        <v>26</v>
      </c>
      <c r="N470">
        <v>47</v>
      </c>
      <c r="O470" s="31" t="s">
        <v>42</v>
      </c>
    </row>
    <row r="471" spans="1:15" x14ac:dyDescent="0.25">
      <c r="A471" s="31" t="s">
        <v>508</v>
      </c>
      <c r="B471">
        <v>43</v>
      </c>
      <c r="C471" s="31" t="s">
        <v>28</v>
      </c>
      <c r="D471" s="31" t="s">
        <v>29</v>
      </c>
      <c r="E471" s="31" t="s">
        <v>41</v>
      </c>
      <c r="F471">
        <v>22630</v>
      </c>
      <c r="G471">
        <v>5</v>
      </c>
      <c r="H471">
        <v>3</v>
      </c>
      <c r="I471">
        <v>5</v>
      </c>
      <c r="J471" s="31" t="s">
        <v>20</v>
      </c>
      <c r="K471">
        <v>1</v>
      </c>
      <c r="L471" s="31" t="s">
        <v>20</v>
      </c>
      <c r="M471" s="31" t="s">
        <v>26</v>
      </c>
      <c r="N471">
        <v>26</v>
      </c>
      <c r="O471" s="31" t="s">
        <v>31</v>
      </c>
    </row>
    <row r="472" spans="1:15" x14ac:dyDescent="0.25">
      <c r="A472" s="31" t="s">
        <v>509</v>
      </c>
      <c r="B472">
        <v>24</v>
      </c>
      <c r="C472" s="31" t="s">
        <v>28</v>
      </c>
      <c r="D472" s="31" t="s">
        <v>17</v>
      </c>
      <c r="E472" s="31" t="s">
        <v>25</v>
      </c>
      <c r="F472">
        <v>21578</v>
      </c>
      <c r="G472">
        <v>3</v>
      </c>
      <c r="H472">
        <v>4</v>
      </c>
      <c r="I472">
        <v>1</v>
      </c>
      <c r="J472" s="31" t="s">
        <v>19</v>
      </c>
      <c r="K472">
        <v>16</v>
      </c>
      <c r="L472" s="31" t="s">
        <v>19</v>
      </c>
      <c r="M472" s="31" t="s">
        <v>30</v>
      </c>
      <c r="N472">
        <v>37</v>
      </c>
      <c r="O472" s="31" t="s">
        <v>44</v>
      </c>
    </row>
    <row r="473" spans="1:15" x14ac:dyDescent="0.25">
      <c r="A473" s="31" t="s">
        <v>510</v>
      </c>
      <c r="B473">
        <v>38</v>
      </c>
      <c r="C473" s="31" t="s">
        <v>28</v>
      </c>
      <c r="D473" s="31" t="s">
        <v>29</v>
      </c>
      <c r="E473" s="31" t="s">
        <v>35</v>
      </c>
      <c r="F473">
        <v>115180</v>
      </c>
      <c r="G473">
        <v>1</v>
      </c>
      <c r="H473">
        <v>5</v>
      </c>
      <c r="I473">
        <v>2</v>
      </c>
      <c r="J473" s="31" t="s">
        <v>19</v>
      </c>
      <c r="K473">
        <v>14</v>
      </c>
      <c r="L473" s="31" t="s">
        <v>20</v>
      </c>
      <c r="M473" s="31" t="s">
        <v>21</v>
      </c>
      <c r="N473">
        <v>38</v>
      </c>
      <c r="O473" s="31" t="s">
        <v>44</v>
      </c>
    </row>
    <row r="474" spans="1:15" x14ac:dyDescent="0.25">
      <c r="A474" s="31" t="s">
        <v>511</v>
      </c>
      <c r="B474">
        <v>52</v>
      </c>
      <c r="C474" s="31" t="s">
        <v>16</v>
      </c>
      <c r="D474" s="31" t="s">
        <v>24</v>
      </c>
      <c r="E474" s="31" t="s">
        <v>35</v>
      </c>
      <c r="F474">
        <v>62937</v>
      </c>
      <c r="G474">
        <v>1</v>
      </c>
      <c r="H474">
        <v>2</v>
      </c>
      <c r="I474">
        <v>5</v>
      </c>
      <c r="J474" s="31" t="s">
        <v>19</v>
      </c>
      <c r="K474">
        <v>15</v>
      </c>
      <c r="L474" s="31" t="s">
        <v>20</v>
      </c>
      <c r="M474" s="31" t="s">
        <v>30</v>
      </c>
      <c r="N474">
        <v>35</v>
      </c>
      <c r="O474" s="31" t="s">
        <v>42</v>
      </c>
    </row>
    <row r="475" spans="1:15" x14ac:dyDescent="0.25">
      <c r="A475" s="31" t="s">
        <v>512</v>
      </c>
      <c r="B475">
        <v>31</v>
      </c>
      <c r="C475" s="31" t="s">
        <v>16</v>
      </c>
      <c r="D475" s="31" t="s">
        <v>24</v>
      </c>
      <c r="E475" s="31" t="s">
        <v>38</v>
      </c>
      <c r="F475">
        <v>63229</v>
      </c>
      <c r="G475">
        <v>1</v>
      </c>
      <c r="H475">
        <v>3</v>
      </c>
      <c r="I475">
        <v>1</v>
      </c>
      <c r="J475" s="31" t="s">
        <v>19</v>
      </c>
      <c r="K475">
        <v>5</v>
      </c>
      <c r="L475" s="31" t="s">
        <v>20</v>
      </c>
      <c r="M475" s="31" t="s">
        <v>30</v>
      </c>
      <c r="N475">
        <v>65</v>
      </c>
      <c r="O475" s="31" t="s">
        <v>36</v>
      </c>
    </row>
    <row r="476" spans="1:15" x14ac:dyDescent="0.25">
      <c r="A476" s="31" t="s">
        <v>513</v>
      </c>
      <c r="B476">
        <v>51</v>
      </c>
      <c r="C476" s="31" t="s">
        <v>16</v>
      </c>
      <c r="D476" s="31" t="s">
        <v>49</v>
      </c>
      <c r="E476" s="31" t="s">
        <v>38</v>
      </c>
      <c r="F476">
        <v>110485</v>
      </c>
      <c r="G476">
        <v>4</v>
      </c>
      <c r="H476">
        <v>4</v>
      </c>
      <c r="I476">
        <v>3</v>
      </c>
      <c r="J476" s="31" t="s">
        <v>19</v>
      </c>
      <c r="K476">
        <v>16</v>
      </c>
      <c r="L476" s="31" t="s">
        <v>20</v>
      </c>
      <c r="M476" s="31" t="s">
        <v>21</v>
      </c>
      <c r="N476">
        <v>41</v>
      </c>
      <c r="O476" s="31" t="s">
        <v>42</v>
      </c>
    </row>
    <row r="477" spans="1:15" x14ac:dyDescent="0.25">
      <c r="A477" s="31" t="s">
        <v>514</v>
      </c>
      <c r="B477">
        <v>45</v>
      </c>
      <c r="C477" s="31" t="s">
        <v>28</v>
      </c>
      <c r="D477" s="31" t="s">
        <v>24</v>
      </c>
      <c r="E477" s="31" t="s">
        <v>38</v>
      </c>
      <c r="F477">
        <v>68925</v>
      </c>
      <c r="G477">
        <v>1</v>
      </c>
      <c r="H477">
        <v>5</v>
      </c>
      <c r="I477">
        <v>3</v>
      </c>
      <c r="J477" s="31" t="s">
        <v>20</v>
      </c>
      <c r="K477">
        <v>19</v>
      </c>
      <c r="L477" s="31" t="s">
        <v>20</v>
      </c>
      <c r="M477" s="31" t="s">
        <v>30</v>
      </c>
      <c r="N477">
        <v>39</v>
      </c>
      <c r="O477" s="31" t="s">
        <v>36</v>
      </c>
    </row>
    <row r="478" spans="1:15" x14ac:dyDescent="0.25">
      <c r="A478" s="31" t="s">
        <v>515</v>
      </c>
      <c r="B478">
        <v>27</v>
      </c>
      <c r="C478" s="31" t="s">
        <v>28</v>
      </c>
      <c r="D478" s="31" t="s">
        <v>17</v>
      </c>
      <c r="E478" s="31" t="s">
        <v>25</v>
      </c>
      <c r="F478">
        <v>69269</v>
      </c>
      <c r="G478">
        <v>4</v>
      </c>
      <c r="H478">
        <v>2</v>
      </c>
      <c r="I478">
        <v>5</v>
      </c>
      <c r="J478" s="31" t="s">
        <v>19</v>
      </c>
      <c r="K478">
        <v>16</v>
      </c>
      <c r="L478" s="31" t="s">
        <v>20</v>
      </c>
      <c r="M478" s="31" t="s">
        <v>26</v>
      </c>
      <c r="N478">
        <v>28</v>
      </c>
      <c r="O478" s="31" t="s">
        <v>36</v>
      </c>
    </row>
    <row r="479" spans="1:15" x14ac:dyDescent="0.25">
      <c r="A479" s="31" t="s">
        <v>516</v>
      </c>
      <c r="B479">
        <v>56</v>
      </c>
      <c r="C479" s="31" t="s">
        <v>16</v>
      </c>
      <c r="D479" s="31" t="s">
        <v>17</v>
      </c>
      <c r="E479" s="31" t="s">
        <v>35</v>
      </c>
      <c r="F479">
        <v>26906</v>
      </c>
      <c r="G479">
        <v>1</v>
      </c>
      <c r="H479">
        <v>4</v>
      </c>
      <c r="I479">
        <v>1</v>
      </c>
      <c r="J479" s="31" t="s">
        <v>19</v>
      </c>
      <c r="K479">
        <v>14</v>
      </c>
      <c r="L479" s="31" t="s">
        <v>20</v>
      </c>
      <c r="M479" s="31" t="s">
        <v>21</v>
      </c>
      <c r="N479">
        <v>41</v>
      </c>
      <c r="O479" s="31" t="s">
        <v>36</v>
      </c>
    </row>
    <row r="480" spans="1:15" x14ac:dyDescent="0.25">
      <c r="A480" s="31" t="s">
        <v>517</v>
      </c>
      <c r="B480">
        <v>33</v>
      </c>
      <c r="C480" s="31" t="s">
        <v>16</v>
      </c>
      <c r="D480" s="31" t="s">
        <v>40</v>
      </c>
      <c r="E480" s="31" t="s">
        <v>25</v>
      </c>
      <c r="F480">
        <v>30050</v>
      </c>
      <c r="G480">
        <v>1</v>
      </c>
      <c r="H480">
        <v>5</v>
      </c>
      <c r="I480">
        <v>2</v>
      </c>
      <c r="J480" s="31" t="s">
        <v>19</v>
      </c>
      <c r="K480">
        <v>3</v>
      </c>
      <c r="L480" s="31" t="s">
        <v>19</v>
      </c>
      <c r="M480" s="31" t="s">
        <v>26</v>
      </c>
      <c r="N480">
        <v>21</v>
      </c>
      <c r="O480" s="31" t="s">
        <v>42</v>
      </c>
    </row>
    <row r="481" spans="1:15" x14ac:dyDescent="0.25">
      <c r="A481" s="31" t="s">
        <v>518</v>
      </c>
      <c r="B481">
        <v>57</v>
      </c>
      <c r="C481" s="31" t="s">
        <v>16</v>
      </c>
      <c r="D481" s="31" t="s">
        <v>40</v>
      </c>
      <c r="E481" s="31" t="s">
        <v>38</v>
      </c>
      <c r="F481">
        <v>42151</v>
      </c>
      <c r="G481">
        <v>3</v>
      </c>
      <c r="H481">
        <v>3</v>
      </c>
      <c r="I481">
        <v>4</v>
      </c>
      <c r="J481" s="31" t="s">
        <v>19</v>
      </c>
      <c r="K481">
        <v>20</v>
      </c>
      <c r="L481" s="31" t="s">
        <v>20</v>
      </c>
      <c r="M481" s="31" t="s">
        <v>30</v>
      </c>
      <c r="N481">
        <v>59</v>
      </c>
      <c r="O481" s="31" t="s">
        <v>36</v>
      </c>
    </row>
    <row r="482" spans="1:15" x14ac:dyDescent="0.25">
      <c r="A482" s="31" t="s">
        <v>519</v>
      </c>
      <c r="B482">
        <v>37</v>
      </c>
      <c r="C482" s="31" t="s">
        <v>16</v>
      </c>
      <c r="D482" s="31" t="s">
        <v>40</v>
      </c>
      <c r="E482" s="31" t="s">
        <v>18</v>
      </c>
      <c r="F482">
        <v>119856</v>
      </c>
      <c r="G482">
        <v>1</v>
      </c>
      <c r="H482">
        <v>4</v>
      </c>
      <c r="I482">
        <v>4</v>
      </c>
      <c r="J482" s="31" t="s">
        <v>20</v>
      </c>
      <c r="K482">
        <v>1</v>
      </c>
      <c r="L482" s="31" t="s">
        <v>20</v>
      </c>
      <c r="M482" s="31" t="s">
        <v>30</v>
      </c>
      <c r="N482">
        <v>27</v>
      </c>
      <c r="O482" s="31" t="s">
        <v>42</v>
      </c>
    </row>
    <row r="483" spans="1:15" x14ac:dyDescent="0.25">
      <c r="A483" s="31" t="s">
        <v>520</v>
      </c>
      <c r="B483">
        <v>25</v>
      </c>
      <c r="C483" s="31" t="s">
        <v>28</v>
      </c>
      <c r="D483" s="31" t="s">
        <v>51</v>
      </c>
      <c r="E483" s="31" t="s">
        <v>25</v>
      </c>
      <c r="F483">
        <v>69463</v>
      </c>
      <c r="G483">
        <v>2</v>
      </c>
      <c r="H483">
        <v>4</v>
      </c>
      <c r="I483">
        <v>1</v>
      </c>
      <c r="J483" s="31" t="s">
        <v>19</v>
      </c>
      <c r="K483">
        <v>17</v>
      </c>
      <c r="L483" s="31" t="s">
        <v>20</v>
      </c>
      <c r="M483" s="31" t="s">
        <v>21</v>
      </c>
      <c r="N483">
        <v>18</v>
      </c>
      <c r="O483" s="31" t="s">
        <v>42</v>
      </c>
    </row>
    <row r="484" spans="1:15" x14ac:dyDescent="0.25">
      <c r="A484" s="31" t="s">
        <v>521</v>
      </c>
      <c r="B484">
        <v>37</v>
      </c>
      <c r="C484" s="31" t="s">
        <v>16</v>
      </c>
      <c r="D484" s="31" t="s">
        <v>40</v>
      </c>
      <c r="E484" s="31" t="s">
        <v>35</v>
      </c>
      <c r="F484">
        <v>27229</v>
      </c>
      <c r="G484">
        <v>5</v>
      </c>
      <c r="H484">
        <v>3</v>
      </c>
      <c r="I484">
        <v>4</v>
      </c>
      <c r="J484" s="31" t="s">
        <v>19</v>
      </c>
      <c r="K484">
        <v>15</v>
      </c>
      <c r="L484" s="31" t="s">
        <v>19</v>
      </c>
      <c r="M484" s="31" t="s">
        <v>26</v>
      </c>
      <c r="N484">
        <v>5</v>
      </c>
      <c r="O484" s="31" t="s">
        <v>22</v>
      </c>
    </row>
    <row r="485" spans="1:15" x14ac:dyDescent="0.25">
      <c r="A485" s="31" t="s">
        <v>522</v>
      </c>
      <c r="B485">
        <v>45</v>
      </c>
      <c r="C485" s="31" t="s">
        <v>28</v>
      </c>
      <c r="D485" s="31" t="s">
        <v>51</v>
      </c>
      <c r="E485" s="31" t="s">
        <v>38</v>
      </c>
      <c r="F485">
        <v>61231</v>
      </c>
      <c r="G485">
        <v>4</v>
      </c>
      <c r="H485">
        <v>5</v>
      </c>
      <c r="I485">
        <v>1</v>
      </c>
      <c r="J485" s="31" t="s">
        <v>20</v>
      </c>
      <c r="K485">
        <v>15</v>
      </c>
      <c r="L485" s="31" t="s">
        <v>20</v>
      </c>
      <c r="M485" s="31" t="s">
        <v>30</v>
      </c>
      <c r="N485">
        <v>13</v>
      </c>
      <c r="O485" s="31" t="s">
        <v>31</v>
      </c>
    </row>
    <row r="486" spans="1:15" x14ac:dyDescent="0.25">
      <c r="A486" s="31" t="s">
        <v>523</v>
      </c>
      <c r="B486">
        <v>35</v>
      </c>
      <c r="C486" s="31" t="s">
        <v>16</v>
      </c>
      <c r="D486" s="31" t="s">
        <v>49</v>
      </c>
      <c r="E486" s="31" t="s">
        <v>38</v>
      </c>
      <c r="F486">
        <v>81185</v>
      </c>
      <c r="G486">
        <v>1</v>
      </c>
      <c r="H486">
        <v>5</v>
      </c>
      <c r="I486">
        <v>3</v>
      </c>
      <c r="J486" s="31" t="s">
        <v>20</v>
      </c>
      <c r="K486">
        <v>10</v>
      </c>
      <c r="L486" s="31" t="s">
        <v>20</v>
      </c>
      <c r="M486" s="31" t="s">
        <v>30</v>
      </c>
      <c r="N486">
        <v>12</v>
      </c>
      <c r="O486" s="31" t="s">
        <v>22</v>
      </c>
    </row>
    <row r="487" spans="1:15" x14ac:dyDescent="0.25">
      <c r="A487" s="31" t="s">
        <v>524</v>
      </c>
      <c r="B487">
        <v>44</v>
      </c>
      <c r="C487" s="31" t="s">
        <v>28</v>
      </c>
      <c r="D487" s="31" t="s">
        <v>40</v>
      </c>
      <c r="E487" s="31" t="s">
        <v>33</v>
      </c>
      <c r="F487">
        <v>117674</v>
      </c>
      <c r="G487">
        <v>3</v>
      </c>
      <c r="H487">
        <v>2</v>
      </c>
      <c r="I487">
        <v>2</v>
      </c>
      <c r="J487" s="31" t="s">
        <v>19</v>
      </c>
      <c r="K487">
        <v>12</v>
      </c>
      <c r="L487" s="31" t="s">
        <v>19</v>
      </c>
      <c r="M487" s="31" t="s">
        <v>30</v>
      </c>
      <c r="N487">
        <v>54</v>
      </c>
      <c r="O487" s="31" t="s">
        <v>22</v>
      </c>
    </row>
    <row r="488" spans="1:15" x14ac:dyDescent="0.25">
      <c r="A488" s="31" t="s">
        <v>525</v>
      </c>
      <c r="B488">
        <v>43</v>
      </c>
      <c r="C488" s="31" t="s">
        <v>28</v>
      </c>
      <c r="D488" s="31" t="s">
        <v>40</v>
      </c>
      <c r="E488" s="31" t="s">
        <v>38</v>
      </c>
      <c r="F488">
        <v>75407</v>
      </c>
      <c r="G488">
        <v>2</v>
      </c>
      <c r="H488">
        <v>2</v>
      </c>
      <c r="I488">
        <v>1</v>
      </c>
      <c r="J488" s="31" t="s">
        <v>19</v>
      </c>
      <c r="K488">
        <v>0</v>
      </c>
      <c r="L488" s="31" t="s">
        <v>19</v>
      </c>
      <c r="M488" s="31" t="s">
        <v>30</v>
      </c>
      <c r="N488">
        <v>54</v>
      </c>
      <c r="O488" s="31" t="s">
        <v>22</v>
      </c>
    </row>
    <row r="489" spans="1:15" x14ac:dyDescent="0.25">
      <c r="A489" s="31" t="s">
        <v>526</v>
      </c>
      <c r="B489">
        <v>39</v>
      </c>
      <c r="C489" s="31" t="s">
        <v>28</v>
      </c>
      <c r="D489" s="31" t="s">
        <v>49</v>
      </c>
      <c r="E489" s="31" t="s">
        <v>25</v>
      </c>
      <c r="F489">
        <v>76891</v>
      </c>
      <c r="G489">
        <v>1</v>
      </c>
      <c r="H489">
        <v>1</v>
      </c>
      <c r="I489">
        <v>3</v>
      </c>
      <c r="J489" s="31" t="s">
        <v>19</v>
      </c>
      <c r="K489">
        <v>10</v>
      </c>
      <c r="L489" s="31" t="s">
        <v>19</v>
      </c>
      <c r="M489" s="31" t="s">
        <v>30</v>
      </c>
      <c r="N489">
        <v>20</v>
      </c>
      <c r="O489" s="31" t="s">
        <v>44</v>
      </c>
    </row>
    <row r="490" spans="1:15" x14ac:dyDescent="0.25">
      <c r="A490" s="31" t="s">
        <v>527</v>
      </c>
      <c r="B490">
        <v>54</v>
      </c>
      <c r="C490" s="31" t="s">
        <v>28</v>
      </c>
      <c r="D490" s="31" t="s">
        <v>17</v>
      </c>
      <c r="E490" s="31" t="s">
        <v>25</v>
      </c>
      <c r="F490">
        <v>37523</v>
      </c>
      <c r="G490">
        <v>5</v>
      </c>
      <c r="H490">
        <v>2</v>
      </c>
      <c r="I490">
        <v>1</v>
      </c>
      <c r="J490" s="31" t="s">
        <v>19</v>
      </c>
      <c r="K490">
        <v>4</v>
      </c>
      <c r="L490" s="31" t="s">
        <v>20</v>
      </c>
      <c r="M490" s="31" t="s">
        <v>26</v>
      </c>
      <c r="N490">
        <v>7</v>
      </c>
      <c r="O490" s="31" t="s">
        <v>42</v>
      </c>
    </row>
    <row r="491" spans="1:15" x14ac:dyDescent="0.25">
      <c r="A491" s="31" t="s">
        <v>528</v>
      </c>
      <c r="B491">
        <v>23</v>
      </c>
      <c r="C491" s="31" t="s">
        <v>16</v>
      </c>
      <c r="D491" s="31" t="s">
        <v>17</v>
      </c>
      <c r="E491" s="31" t="s">
        <v>38</v>
      </c>
      <c r="F491">
        <v>35109</v>
      </c>
      <c r="G491">
        <v>1</v>
      </c>
      <c r="H491">
        <v>2</v>
      </c>
      <c r="I491">
        <v>1</v>
      </c>
      <c r="J491" s="31" t="s">
        <v>20</v>
      </c>
      <c r="K491">
        <v>3</v>
      </c>
      <c r="L491" s="31" t="s">
        <v>20</v>
      </c>
      <c r="M491" s="31" t="s">
        <v>26</v>
      </c>
      <c r="N491">
        <v>26</v>
      </c>
      <c r="O491" s="31" t="s">
        <v>31</v>
      </c>
    </row>
    <row r="492" spans="1:15" x14ac:dyDescent="0.25">
      <c r="A492" s="31" t="s">
        <v>529</v>
      </c>
      <c r="B492">
        <v>25</v>
      </c>
      <c r="C492" s="31" t="s">
        <v>16</v>
      </c>
      <c r="D492" s="31" t="s">
        <v>40</v>
      </c>
      <c r="E492" s="31" t="s">
        <v>33</v>
      </c>
      <c r="F492">
        <v>95984</v>
      </c>
      <c r="G492">
        <v>5</v>
      </c>
      <c r="H492">
        <v>2</v>
      </c>
      <c r="I492">
        <v>1</v>
      </c>
      <c r="J492" s="31" t="s">
        <v>19</v>
      </c>
      <c r="K492">
        <v>13</v>
      </c>
      <c r="L492" s="31" t="s">
        <v>20</v>
      </c>
      <c r="M492" s="31" t="s">
        <v>26</v>
      </c>
      <c r="N492">
        <v>56</v>
      </c>
      <c r="O492" s="31" t="s">
        <v>36</v>
      </c>
    </row>
    <row r="493" spans="1:15" x14ac:dyDescent="0.25">
      <c r="A493" s="31" t="s">
        <v>530</v>
      </c>
      <c r="B493">
        <v>28</v>
      </c>
      <c r="C493" s="31" t="s">
        <v>16</v>
      </c>
      <c r="D493" s="31" t="s">
        <v>29</v>
      </c>
      <c r="E493" s="31" t="s">
        <v>41</v>
      </c>
      <c r="F493">
        <v>118168</v>
      </c>
      <c r="G493">
        <v>1</v>
      </c>
      <c r="H493">
        <v>5</v>
      </c>
      <c r="I493">
        <v>2</v>
      </c>
      <c r="J493" s="31" t="s">
        <v>20</v>
      </c>
      <c r="K493">
        <v>2</v>
      </c>
      <c r="L493" s="31" t="s">
        <v>19</v>
      </c>
      <c r="M493" s="31" t="s">
        <v>30</v>
      </c>
      <c r="N493">
        <v>23</v>
      </c>
      <c r="O493" s="31" t="s">
        <v>42</v>
      </c>
    </row>
    <row r="494" spans="1:15" x14ac:dyDescent="0.25">
      <c r="A494" s="31" t="s">
        <v>531</v>
      </c>
      <c r="B494">
        <v>31</v>
      </c>
      <c r="C494" s="31" t="s">
        <v>28</v>
      </c>
      <c r="D494" s="31" t="s">
        <v>24</v>
      </c>
      <c r="E494" s="31" t="s">
        <v>41</v>
      </c>
      <c r="F494">
        <v>75496</v>
      </c>
      <c r="G494">
        <v>2</v>
      </c>
      <c r="H494">
        <v>5</v>
      </c>
      <c r="I494">
        <v>1</v>
      </c>
      <c r="J494" s="31" t="s">
        <v>19</v>
      </c>
      <c r="K494">
        <v>3</v>
      </c>
      <c r="L494" s="31" t="s">
        <v>20</v>
      </c>
      <c r="M494" s="31" t="s">
        <v>21</v>
      </c>
      <c r="N494">
        <v>7</v>
      </c>
      <c r="O494" s="31" t="s">
        <v>42</v>
      </c>
    </row>
    <row r="495" spans="1:15" x14ac:dyDescent="0.25">
      <c r="A495" s="31" t="s">
        <v>532</v>
      </c>
      <c r="B495">
        <v>26</v>
      </c>
      <c r="C495" s="31" t="s">
        <v>16</v>
      </c>
      <c r="D495" s="31" t="s">
        <v>40</v>
      </c>
      <c r="E495" s="31" t="s">
        <v>41</v>
      </c>
      <c r="F495">
        <v>29683</v>
      </c>
      <c r="G495">
        <v>5</v>
      </c>
      <c r="H495">
        <v>3</v>
      </c>
      <c r="I495">
        <v>4</v>
      </c>
      <c r="J495" s="31" t="s">
        <v>20</v>
      </c>
      <c r="K495">
        <v>4</v>
      </c>
      <c r="L495" s="31" t="s">
        <v>19</v>
      </c>
      <c r="M495" s="31" t="s">
        <v>21</v>
      </c>
      <c r="N495">
        <v>39</v>
      </c>
      <c r="O495" s="31" t="s">
        <v>31</v>
      </c>
    </row>
    <row r="496" spans="1:15" x14ac:dyDescent="0.25">
      <c r="A496" s="31" t="s">
        <v>533</v>
      </c>
      <c r="B496">
        <v>49</v>
      </c>
      <c r="C496" s="31" t="s">
        <v>28</v>
      </c>
      <c r="D496" s="31" t="s">
        <v>51</v>
      </c>
      <c r="E496" s="31" t="s">
        <v>41</v>
      </c>
      <c r="F496">
        <v>98024</v>
      </c>
      <c r="G496">
        <v>1</v>
      </c>
      <c r="H496">
        <v>5</v>
      </c>
      <c r="I496">
        <v>2</v>
      </c>
      <c r="J496" s="31" t="s">
        <v>20</v>
      </c>
      <c r="K496">
        <v>19</v>
      </c>
      <c r="L496" s="31" t="s">
        <v>19</v>
      </c>
      <c r="M496" s="31" t="s">
        <v>26</v>
      </c>
      <c r="N496">
        <v>43</v>
      </c>
      <c r="O496" s="31" t="s">
        <v>36</v>
      </c>
    </row>
    <row r="497" spans="1:15" x14ac:dyDescent="0.25">
      <c r="A497" s="31" t="s">
        <v>534</v>
      </c>
      <c r="B497">
        <v>47</v>
      </c>
      <c r="C497" s="31" t="s">
        <v>16</v>
      </c>
      <c r="D497" s="31" t="s">
        <v>24</v>
      </c>
      <c r="E497" s="31" t="s">
        <v>41</v>
      </c>
      <c r="F497">
        <v>43153</v>
      </c>
      <c r="G497">
        <v>1</v>
      </c>
      <c r="H497">
        <v>5</v>
      </c>
      <c r="I497">
        <v>1</v>
      </c>
      <c r="J497" s="31" t="s">
        <v>20</v>
      </c>
      <c r="K497">
        <v>17</v>
      </c>
      <c r="L497" s="31" t="s">
        <v>19</v>
      </c>
      <c r="M497" s="31" t="s">
        <v>30</v>
      </c>
      <c r="N497">
        <v>31</v>
      </c>
      <c r="O497" s="31" t="s">
        <v>36</v>
      </c>
    </row>
    <row r="498" spans="1:15" x14ac:dyDescent="0.25">
      <c r="A498" s="31" t="s">
        <v>535</v>
      </c>
      <c r="B498">
        <v>39</v>
      </c>
      <c r="C498" s="31" t="s">
        <v>16</v>
      </c>
      <c r="D498" s="31" t="s">
        <v>40</v>
      </c>
      <c r="E498" s="31" t="s">
        <v>41</v>
      </c>
      <c r="F498">
        <v>107816</v>
      </c>
      <c r="G498">
        <v>4</v>
      </c>
      <c r="H498">
        <v>4</v>
      </c>
      <c r="I498">
        <v>2</v>
      </c>
      <c r="J498" s="31" t="s">
        <v>19</v>
      </c>
      <c r="K498">
        <v>1</v>
      </c>
      <c r="L498" s="31" t="s">
        <v>19</v>
      </c>
      <c r="M498" s="31" t="s">
        <v>26</v>
      </c>
      <c r="N498">
        <v>51</v>
      </c>
      <c r="O498" s="31" t="s">
        <v>36</v>
      </c>
    </row>
    <row r="499" spans="1:15" x14ac:dyDescent="0.25">
      <c r="A499" s="31" t="s">
        <v>536</v>
      </c>
      <c r="B499">
        <v>34</v>
      </c>
      <c r="C499" s="31" t="s">
        <v>28</v>
      </c>
      <c r="D499" s="31" t="s">
        <v>29</v>
      </c>
      <c r="E499" s="31" t="s">
        <v>18</v>
      </c>
      <c r="F499">
        <v>98847</v>
      </c>
      <c r="G499">
        <v>4</v>
      </c>
      <c r="H499">
        <v>1</v>
      </c>
      <c r="I499">
        <v>1</v>
      </c>
      <c r="J499" s="31" t="s">
        <v>19</v>
      </c>
      <c r="K499">
        <v>17</v>
      </c>
      <c r="L499" s="31" t="s">
        <v>19</v>
      </c>
      <c r="M499" s="31" t="s">
        <v>21</v>
      </c>
      <c r="N499">
        <v>8</v>
      </c>
      <c r="O499" s="31" t="s">
        <v>42</v>
      </c>
    </row>
    <row r="500" spans="1:15" x14ac:dyDescent="0.25">
      <c r="A500" s="31" t="s">
        <v>537</v>
      </c>
      <c r="B500">
        <v>53</v>
      </c>
      <c r="C500" s="31" t="s">
        <v>16</v>
      </c>
      <c r="D500" s="31" t="s">
        <v>40</v>
      </c>
      <c r="E500" s="31" t="s">
        <v>41</v>
      </c>
      <c r="F500">
        <v>112555</v>
      </c>
      <c r="G500">
        <v>4</v>
      </c>
      <c r="H500">
        <v>5</v>
      </c>
      <c r="I500">
        <v>5</v>
      </c>
      <c r="J500" s="31" t="s">
        <v>20</v>
      </c>
      <c r="K500">
        <v>13</v>
      </c>
      <c r="L500" s="31" t="s">
        <v>19</v>
      </c>
      <c r="M500" s="31" t="s">
        <v>26</v>
      </c>
      <c r="N500">
        <v>46</v>
      </c>
      <c r="O500" s="31" t="s">
        <v>44</v>
      </c>
    </row>
    <row r="501" spans="1:15" x14ac:dyDescent="0.25">
      <c r="A501" s="31" t="s">
        <v>538</v>
      </c>
      <c r="B501">
        <v>28</v>
      </c>
      <c r="C501" s="31" t="s">
        <v>28</v>
      </c>
      <c r="D501" s="31" t="s">
        <v>51</v>
      </c>
      <c r="E501" s="31" t="s">
        <v>35</v>
      </c>
      <c r="F501">
        <v>68925</v>
      </c>
      <c r="G501">
        <v>4</v>
      </c>
      <c r="H501">
        <v>2</v>
      </c>
      <c r="I501">
        <v>4</v>
      </c>
      <c r="J501" s="31" t="s">
        <v>19</v>
      </c>
      <c r="K501">
        <v>2</v>
      </c>
      <c r="L501" s="31" t="s">
        <v>20</v>
      </c>
      <c r="M501" s="31" t="s">
        <v>26</v>
      </c>
      <c r="N501">
        <v>67</v>
      </c>
      <c r="O501" s="31" t="s">
        <v>22</v>
      </c>
    </row>
  </sheetData>
  <phoneticPr fontId="2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2709-12D2-458E-BDF6-39C2656299CD}">
  <dimension ref="A1:G32"/>
  <sheetViews>
    <sheetView workbookViewId="0">
      <selection activeCell="G18" sqref="G18"/>
    </sheetView>
  </sheetViews>
  <sheetFormatPr defaultRowHeight="15" x14ac:dyDescent="0.25"/>
  <cols>
    <col min="1" max="1" width="13.140625" bestFit="1" customWidth="1"/>
    <col min="2" max="2" width="20" bestFit="1" customWidth="1"/>
    <col min="4" max="4" width="13.140625" bestFit="1" customWidth="1"/>
    <col min="5" max="5" width="20" bestFit="1" customWidth="1"/>
    <col min="6" max="6" width="4.140625" bestFit="1" customWidth="1"/>
    <col min="7" max="7" width="11.28515625" bestFit="1" customWidth="1"/>
  </cols>
  <sheetData>
    <row r="1" spans="1:7" x14ac:dyDescent="0.25">
      <c r="A1" s="24" t="s">
        <v>571</v>
      </c>
      <c r="B1" t="s">
        <v>573</v>
      </c>
      <c r="D1" s="24" t="s">
        <v>573</v>
      </c>
      <c r="E1" s="24" t="s">
        <v>574</v>
      </c>
    </row>
    <row r="2" spans="1:7" x14ac:dyDescent="0.25">
      <c r="A2" s="25" t="s">
        <v>49</v>
      </c>
      <c r="B2">
        <v>70</v>
      </c>
      <c r="D2" s="24" t="s">
        <v>571</v>
      </c>
      <c r="E2" t="s">
        <v>20</v>
      </c>
      <c r="F2" t="s">
        <v>19</v>
      </c>
      <c r="G2" t="s">
        <v>572</v>
      </c>
    </row>
    <row r="3" spans="1:7" x14ac:dyDescent="0.25">
      <c r="A3" s="25" t="s">
        <v>40</v>
      </c>
      <c r="B3">
        <v>79</v>
      </c>
      <c r="D3" s="25" t="s">
        <v>49</v>
      </c>
      <c r="E3">
        <v>40</v>
      </c>
      <c r="F3">
        <v>30</v>
      </c>
      <c r="G3">
        <v>70</v>
      </c>
    </row>
    <row r="4" spans="1:7" x14ac:dyDescent="0.25">
      <c r="A4" s="25" t="s">
        <v>29</v>
      </c>
      <c r="B4">
        <v>90</v>
      </c>
      <c r="D4" s="25" t="s">
        <v>40</v>
      </c>
      <c r="E4">
        <v>41</v>
      </c>
      <c r="F4">
        <v>38</v>
      </c>
      <c r="G4">
        <v>79</v>
      </c>
    </row>
    <row r="5" spans="1:7" x14ac:dyDescent="0.25">
      <c r="A5" s="25" t="s">
        <v>24</v>
      </c>
      <c r="B5">
        <v>79</v>
      </c>
      <c r="D5" s="25" t="s">
        <v>29</v>
      </c>
      <c r="E5">
        <v>45</v>
      </c>
      <c r="F5">
        <v>45</v>
      </c>
      <c r="G5">
        <v>90</v>
      </c>
    </row>
    <row r="6" spans="1:7" x14ac:dyDescent="0.25">
      <c r="A6" s="25" t="s">
        <v>17</v>
      </c>
      <c r="B6">
        <v>96</v>
      </c>
      <c r="D6" s="25" t="s">
        <v>24</v>
      </c>
      <c r="E6">
        <v>41</v>
      </c>
      <c r="F6">
        <v>38</v>
      </c>
      <c r="G6">
        <v>79</v>
      </c>
    </row>
    <row r="7" spans="1:7" x14ac:dyDescent="0.25">
      <c r="A7" s="25" t="s">
        <v>51</v>
      </c>
      <c r="B7">
        <v>86</v>
      </c>
      <c r="D7" s="25" t="s">
        <v>17</v>
      </c>
      <c r="E7">
        <v>52</v>
      </c>
      <c r="F7">
        <v>44</v>
      </c>
      <c r="G7">
        <v>96</v>
      </c>
    </row>
    <row r="8" spans="1:7" x14ac:dyDescent="0.25">
      <c r="A8" s="25" t="s">
        <v>572</v>
      </c>
      <c r="B8">
        <v>500</v>
      </c>
      <c r="D8" s="25" t="s">
        <v>51</v>
      </c>
      <c r="E8">
        <v>45</v>
      </c>
      <c r="F8">
        <v>41</v>
      </c>
      <c r="G8">
        <v>86</v>
      </c>
    </row>
    <row r="9" spans="1:7" x14ac:dyDescent="0.25">
      <c r="D9" s="25" t="s">
        <v>572</v>
      </c>
      <c r="E9">
        <v>264</v>
      </c>
      <c r="F9">
        <v>236</v>
      </c>
      <c r="G9">
        <v>500</v>
      </c>
    </row>
    <row r="10" spans="1:7" x14ac:dyDescent="0.25">
      <c r="A10" s="24" t="s">
        <v>571</v>
      </c>
      <c r="B10" t="s">
        <v>573</v>
      </c>
    </row>
    <row r="11" spans="1:7" x14ac:dyDescent="0.25">
      <c r="A11" s="25" t="s">
        <v>28</v>
      </c>
      <c r="B11">
        <v>254</v>
      </c>
      <c r="D11" s="24" t="s">
        <v>573</v>
      </c>
      <c r="E11" s="24" t="s">
        <v>574</v>
      </c>
    </row>
    <row r="12" spans="1:7" x14ac:dyDescent="0.25">
      <c r="A12" s="25" t="s">
        <v>16</v>
      </c>
      <c r="B12">
        <v>246</v>
      </c>
      <c r="D12" s="24" t="s">
        <v>571</v>
      </c>
      <c r="E12" t="s">
        <v>20</v>
      </c>
      <c r="F12" t="s">
        <v>19</v>
      </c>
      <c r="G12" t="s">
        <v>572</v>
      </c>
    </row>
    <row r="13" spans="1:7" x14ac:dyDescent="0.25">
      <c r="A13" s="25" t="s">
        <v>572</v>
      </c>
      <c r="B13">
        <v>500</v>
      </c>
      <c r="D13" s="25" t="s">
        <v>20</v>
      </c>
      <c r="E13">
        <v>130</v>
      </c>
      <c r="F13">
        <v>112</v>
      </c>
      <c r="G13">
        <v>242</v>
      </c>
    </row>
    <row r="14" spans="1:7" x14ac:dyDescent="0.25">
      <c r="D14" s="25" t="s">
        <v>19</v>
      </c>
      <c r="E14">
        <v>134</v>
      </c>
      <c r="F14">
        <v>124</v>
      </c>
      <c r="G14">
        <v>258</v>
      </c>
    </row>
    <row r="15" spans="1:7" x14ac:dyDescent="0.25">
      <c r="A15" s="24" t="s">
        <v>571</v>
      </c>
      <c r="B15" t="s">
        <v>575</v>
      </c>
      <c r="D15" s="25" t="s">
        <v>572</v>
      </c>
      <c r="E15">
        <v>264</v>
      </c>
      <c r="F15">
        <v>236</v>
      </c>
      <c r="G15">
        <v>500</v>
      </c>
    </row>
    <row r="16" spans="1:7" x14ac:dyDescent="0.25">
      <c r="A16" s="25" t="s">
        <v>18</v>
      </c>
      <c r="B16">
        <v>4693480</v>
      </c>
    </row>
    <row r="17" spans="1:5" x14ac:dyDescent="0.25">
      <c r="A17" s="25" t="s">
        <v>552</v>
      </c>
      <c r="B17">
        <v>28500</v>
      </c>
      <c r="D17" s="24" t="s">
        <v>571</v>
      </c>
      <c r="E17" t="s">
        <v>573</v>
      </c>
    </row>
    <row r="18" spans="1:5" x14ac:dyDescent="0.25">
      <c r="A18" s="25" t="s">
        <v>562</v>
      </c>
      <c r="B18">
        <v>40227</v>
      </c>
      <c r="D18" s="25" t="s">
        <v>26</v>
      </c>
      <c r="E18">
        <v>171</v>
      </c>
    </row>
    <row r="19" spans="1:5" x14ac:dyDescent="0.25">
      <c r="A19" s="25" t="s">
        <v>25</v>
      </c>
      <c r="B19">
        <v>6969384</v>
      </c>
      <c r="D19" s="25" t="s">
        <v>30</v>
      </c>
      <c r="E19">
        <v>169</v>
      </c>
    </row>
    <row r="20" spans="1:5" x14ac:dyDescent="0.25">
      <c r="A20" s="25" t="s">
        <v>549</v>
      </c>
      <c r="B20">
        <v>71354</v>
      </c>
      <c r="D20" s="25" t="s">
        <v>21</v>
      </c>
      <c r="E20">
        <v>160</v>
      </c>
    </row>
    <row r="21" spans="1:5" x14ac:dyDescent="0.25">
      <c r="A21" s="25" t="s">
        <v>33</v>
      </c>
      <c r="B21">
        <v>5178581</v>
      </c>
      <c r="D21" s="25" t="s">
        <v>572</v>
      </c>
      <c r="E21">
        <v>500</v>
      </c>
    </row>
    <row r="22" spans="1:5" x14ac:dyDescent="0.25">
      <c r="A22" s="25" t="s">
        <v>558</v>
      </c>
      <c r="B22">
        <v>108357</v>
      </c>
    </row>
    <row r="23" spans="1:5" x14ac:dyDescent="0.25">
      <c r="A23" s="25" t="s">
        <v>550</v>
      </c>
      <c r="B23">
        <v>22207</v>
      </c>
    </row>
    <row r="24" spans="1:5" x14ac:dyDescent="0.25">
      <c r="A24" s="25" t="s">
        <v>41</v>
      </c>
      <c r="B24">
        <v>5526758</v>
      </c>
    </row>
    <row r="25" spans="1:5" x14ac:dyDescent="0.25">
      <c r="A25" s="25" t="s">
        <v>551</v>
      </c>
      <c r="B25">
        <v>25665</v>
      </c>
    </row>
    <row r="26" spans="1:5" x14ac:dyDescent="0.25">
      <c r="A26" s="25" t="s">
        <v>570</v>
      </c>
      <c r="B26">
        <v>74585</v>
      </c>
    </row>
    <row r="27" spans="1:5" x14ac:dyDescent="0.25">
      <c r="A27" s="25" t="s">
        <v>38</v>
      </c>
      <c r="B27">
        <v>5590839</v>
      </c>
    </row>
    <row r="28" spans="1:5" x14ac:dyDescent="0.25">
      <c r="A28" s="25" t="s">
        <v>548</v>
      </c>
      <c r="B28">
        <v>76082</v>
      </c>
    </row>
    <row r="29" spans="1:5" x14ac:dyDescent="0.25">
      <c r="A29" s="25" t="s">
        <v>569</v>
      </c>
      <c r="B29">
        <v>62658</v>
      </c>
    </row>
    <row r="30" spans="1:5" x14ac:dyDescent="0.25">
      <c r="A30" s="25" t="s">
        <v>35</v>
      </c>
      <c r="B30">
        <v>5445345</v>
      </c>
    </row>
    <row r="31" spans="1:5" x14ac:dyDescent="0.25">
      <c r="A31" s="25" t="s">
        <v>554</v>
      </c>
      <c r="B31">
        <v>72948</v>
      </c>
    </row>
    <row r="32" spans="1:5" x14ac:dyDescent="0.25">
      <c r="A32" s="25" t="s">
        <v>572</v>
      </c>
      <c r="B32">
        <v>33986970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43269-2345-4B68-A86C-0346D64AB177}">
  <dimension ref="A1:H23"/>
  <sheetViews>
    <sheetView workbookViewId="0">
      <selection activeCell="B18" sqref="B18"/>
    </sheetView>
  </sheetViews>
  <sheetFormatPr defaultRowHeight="15" x14ac:dyDescent="0.25"/>
  <sheetData>
    <row r="1" spans="1:8" ht="20.25" customHeight="1" x14ac:dyDescent="0.25">
      <c r="A1" s="30" t="s">
        <v>576</v>
      </c>
      <c r="B1" s="30"/>
      <c r="C1" s="30"/>
      <c r="D1" s="30"/>
      <c r="E1" s="30"/>
      <c r="F1" s="30"/>
      <c r="G1" s="30"/>
      <c r="H1" s="30"/>
    </row>
    <row r="2" spans="1:8" x14ac:dyDescent="0.25">
      <c r="A2" s="30"/>
      <c r="B2" s="30"/>
      <c r="C2" s="30"/>
      <c r="D2" s="30"/>
      <c r="E2" s="30"/>
      <c r="F2" s="30"/>
      <c r="G2" s="30"/>
      <c r="H2" s="30"/>
    </row>
    <row r="3" spans="1:8" x14ac:dyDescent="0.25">
      <c r="A3" s="26" t="s">
        <v>591</v>
      </c>
    </row>
    <row r="4" spans="1:8" x14ac:dyDescent="0.25">
      <c r="A4" s="26"/>
    </row>
    <row r="5" spans="1:8" x14ac:dyDescent="0.25">
      <c r="B5" t="s">
        <v>577</v>
      </c>
    </row>
    <row r="6" spans="1:8" x14ac:dyDescent="0.25">
      <c r="B6" t="s">
        <v>578</v>
      </c>
    </row>
    <row r="7" spans="1:8" x14ac:dyDescent="0.25">
      <c r="B7" s="27"/>
    </row>
    <row r="8" spans="1:8" x14ac:dyDescent="0.25">
      <c r="A8" s="26" t="s">
        <v>579</v>
      </c>
    </row>
    <row r="10" spans="1:8" x14ac:dyDescent="0.25">
      <c r="B10" t="s">
        <v>580</v>
      </c>
    </row>
    <row r="11" spans="1:8" x14ac:dyDescent="0.25">
      <c r="B11" t="s">
        <v>581</v>
      </c>
    </row>
    <row r="12" spans="1:8" x14ac:dyDescent="0.25">
      <c r="B12" t="s">
        <v>582</v>
      </c>
    </row>
    <row r="13" spans="1:8" x14ac:dyDescent="0.25">
      <c r="B13" t="s">
        <v>583</v>
      </c>
    </row>
    <row r="14" spans="1:8" x14ac:dyDescent="0.25">
      <c r="B14" t="s">
        <v>584</v>
      </c>
    </row>
    <row r="15" spans="1:8" x14ac:dyDescent="0.25">
      <c r="B15" t="s">
        <v>585</v>
      </c>
    </row>
    <row r="16" spans="1:8" x14ac:dyDescent="0.25">
      <c r="B16" t="s">
        <v>587</v>
      </c>
    </row>
    <row r="17" spans="1:6" x14ac:dyDescent="0.25">
      <c r="B17" t="s">
        <v>588</v>
      </c>
    </row>
    <row r="18" spans="1:6" x14ac:dyDescent="0.25">
      <c r="B18" t="s">
        <v>592</v>
      </c>
    </row>
    <row r="21" spans="1:6" x14ac:dyDescent="0.25">
      <c r="A21" s="26" t="s">
        <v>589</v>
      </c>
    </row>
    <row r="23" spans="1:6" x14ac:dyDescent="0.25">
      <c r="B23" s="28" t="s">
        <v>590</v>
      </c>
      <c r="C23" s="28"/>
      <c r="D23" s="28"/>
      <c r="E23" s="28"/>
      <c r="F23" s="28"/>
    </row>
  </sheetData>
  <mergeCells count="1">
    <mergeCell ref="A1: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211583-1E5E-48AD-86F7-1E5FF465D3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RawDataSet</vt:lpstr>
      <vt:lpstr>Processed Sheet</vt:lpstr>
      <vt:lpstr>Cleaned</vt:lpstr>
      <vt:lpstr>Transformation</vt:lpstr>
      <vt:lpstr>PivotTable</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sivapadmini sakthivel</cp:lastModifiedBy>
  <dcterms:created xsi:type="dcterms:W3CDTF">2026-05-15T08:17:45Z</dcterms:created>
  <dcterms:modified xsi:type="dcterms:W3CDTF">2026-05-26T14:23:12Z</dcterms:modified>
</cp:coreProperties>
</file>